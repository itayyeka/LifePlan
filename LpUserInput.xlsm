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dasAndIay\Desktop\LifePlan-master\"/>
    </mc:Choice>
  </mc:AlternateContent>
  <bookViews>
    <workbookView xWindow="0" yWindow="0" windowWidth="28800" windowHeight="12350" tabRatio="794" firstSheet="1" activeTab="6"/>
  </bookViews>
  <sheets>
    <sheet name="My details" sheetId="11" r:id="rId1"/>
    <sheet name="Initial position" sheetId="10" r:id="rId2"/>
    <sheet name="Market" sheetId="9" r:id="rId3"/>
    <sheet name="Incomes" sheetId="5" r:id="rId4"/>
    <sheet name="Expenses" sheetId="4" r:id="rId5"/>
    <sheet name="Assets" sheetId="6" r:id="rId6"/>
    <sheet name="Loans" sheetId="7" r:id="rId7"/>
    <sheet name="Savings" sheetId="8" r:id="rId8"/>
    <sheet name="Background" sheetId="2" r:id="rId9"/>
    <sheet name="Personal" sheetId="12" r:id="rId10"/>
    <sheet name="Scenarios" sheetId="13" r:id="rId11"/>
    <sheet name="Sheet1" sheetId="14" r:id="rId12"/>
  </sheets>
  <definedNames>
    <definedName name="ActiveOptions">Background!$A$2:$A$3</definedName>
    <definedName name="AssetGentrificationUnits">Background!$E$2:$E$3</definedName>
    <definedName name="DateUnitsOptions">Background!$C$2:$C$4</definedName>
    <definedName name="FrequencyOptions">Background!$B$2:$B$3</definedName>
    <definedName name="IncomeTaxUnitOptions">Background!$D$2:$D$3</definedName>
    <definedName name="InitSavingFactor">Personal!$K$3</definedName>
    <definedName name="KidsFundInterest">Personal!$B$9</definedName>
    <definedName name="LawyerPrecent">Personal!$K$2</definedName>
    <definedName name="LoanTypes">Background!$G$2:$G$3</definedName>
    <definedName name="NadlanPrecent">Personal!$K$1</definedName>
    <definedName name="RaiseFrequencyOptions">Background!$F$2:$F$4</definedName>
    <definedName name="UseFirstFundHadas">Savings!$V$2</definedName>
    <definedName name="UseFirstFundItay">Savings!$V$1</definedName>
  </definedNames>
  <calcPr calcId="162913"/>
</workbook>
</file>

<file path=xl/calcChain.xml><?xml version="1.0" encoding="utf-8"?>
<calcChain xmlns="http://schemas.openxmlformats.org/spreadsheetml/2006/main">
  <c r="B5" i="14" l="1"/>
  <c r="AS9" i="14"/>
  <c r="AQ9" i="14"/>
  <c r="AN9" i="14"/>
  <c r="AR9" i="14" s="1"/>
  <c r="AH9" i="14"/>
  <c r="AF9" i="14"/>
  <c r="AC9" i="14"/>
  <c r="AG9" i="14" s="1"/>
  <c r="W9" i="14"/>
  <c r="U9" i="14"/>
  <c r="R9" i="14"/>
  <c r="V9" i="14" s="1"/>
  <c r="L9" i="14"/>
  <c r="J9" i="14"/>
  <c r="G9" i="14"/>
  <c r="K9" i="14" s="1"/>
  <c r="B9" i="14"/>
  <c r="C9" i="14" s="1"/>
  <c r="AS8" i="14"/>
  <c r="AQ8" i="14"/>
  <c r="AR8" i="14" s="1"/>
  <c r="AU8" i="14" s="1"/>
  <c r="AT8" i="14" s="1"/>
  <c r="AN8" i="14"/>
  <c r="AH8" i="14"/>
  <c r="AF8" i="14"/>
  <c r="AG8" i="14" s="1"/>
  <c r="AC8" i="14"/>
  <c r="W8" i="14"/>
  <c r="U8" i="14"/>
  <c r="V8" i="14" s="1"/>
  <c r="Y8" i="14" s="1"/>
  <c r="X8" i="14" s="1"/>
  <c r="R8" i="14"/>
  <c r="L8" i="14"/>
  <c r="J8" i="14"/>
  <c r="K8" i="14" s="1"/>
  <c r="G8" i="14"/>
  <c r="B8" i="14"/>
  <c r="C8" i="14" s="1"/>
  <c r="AS7" i="14"/>
  <c r="AQ7" i="14"/>
  <c r="AN7" i="14"/>
  <c r="AR7" i="14" s="1"/>
  <c r="AU7" i="14" s="1"/>
  <c r="AT7" i="14" s="1"/>
  <c r="AH7" i="14"/>
  <c r="AF7" i="14"/>
  <c r="AC7" i="14"/>
  <c r="AG7" i="14" s="1"/>
  <c r="W7" i="14"/>
  <c r="U7" i="14"/>
  <c r="R7" i="14"/>
  <c r="V7" i="14" s="1"/>
  <c r="Y7" i="14" s="1"/>
  <c r="X7" i="14" s="1"/>
  <c r="L7" i="14"/>
  <c r="J7" i="14"/>
  <c r="G7" i="14"/>
  <c r="K7" i="14" s="1"/>
  <c r="C7" i="14"/>
  <c r="B7" i="14"/>
  <c r="AS6" i="14"/>
  <c r="AQ6" i="14"/>
  <c r="AR6" i="14" s="1"/>
  <c r="AN6" i="14"/>
  <c r="AH6" i="14"/>
  <c r="AF6" i="14"/>
  <c r="AG6" i="14" s="1"/>
  <c r="AC6" i="14"/>
  <c r="W6" i="14"/>
  <c r="U6" i="14"/>
  <c r="V6" i="14" s="1"/>
  <c r="R6" i="14"/>
  <c r="L6" i="14"/>
  <c r="J6" i="14"/>
  <c r="K6" i="14" s="1"/>
  <c r="G6" i="14"/>
  <c r="B6" i="14"/>
  <c r="C6" i="14" s="1"/>
  <c r="A6" i="14"/>
  <c r="AS5" i="14"/>
  <c r="AQ5" i="14"/>
  <c r="AR5" i="14" s="1"/>
  <c r="AU5" i="14" s="1"/>
  <c r="AT5" i="14" s="1"/>
  <c r="AN5" i="14"/>
  <c r="AH5" i="14"/>
  <c r="AF5" i="14"/>
  <c r="AG5" i="14" s="1"/>
  <c r="AJ5" i="14" s="1"/>
  <c r="AI5" i="14" s="1"/>
  <c r="AC5" i="14"/>
  <c r="W5" i="14"/>
  <c r="U5" i="14"/>
  <c r="V5" i="14" s="1"/>
  <c r="Y5" i="14" s="1"/>
  <c r="X5" i="14" s="1"/>
  <c r="R5" i="14"/>
  <c r="L5" i="14"/>
  <c r="J5" i="14"/>
  <c r="K5" i="14" s="1"/>
  <c r="G5" i="14"/>
  <c r="C5" i="14"/>
  <c r="Y6" i="14" l="1"/>
  <c r="X6" i="14" s="1"/>
  <c r="AU6" i="14"/>
  <c r="AT6" i="14" s="1"/>
  <c r="D7" i="14"/>
  <c r="AJ7" i="14"/>
  <c r="AI7" i="14" s="1"/>
  <c r="AJ8" i="14"/>
  <c r="AI8" i="14" s="1"/>
  <c r="Y9" i="14"/>
  <c r="X9" i="14" s="1"/>
  <c r="AU9" i="14"/>
  <c r="AT9" i="14" s="1"/>
  <c r="AJ6" i="14"/>
  <c r="AI6" i="14" s="1"/>
  <c r="D9" i="14"/>
  <c r="N9" i="14" s="1"/>
  <c r="M9" i="14" s="1"/>
  <c r="AJ9" i="14"/>
  <c r="AI9" i="14" s="1"/>
  <c r="N7" i="14"/>
  <c r="M7" i="14" s="1"/>
  <c r="D5" i="14"/>
  <c r="N5" i="14" s="1"/>
  <c r="M5" i="14" s="1"/>
  <c r="D6" i="14"/>
  <c r="N6" i="14" s="1"/>
  <c r="M6" i="14" s="1"/>
  <c r="D8" i="14"/>
  <c r="N8" i="14" s="1"/>
  <c r="M8" i="14" s="1"/>
  <c r="AQ6" i="13"/>
  <c r="AQ7" i="13"/>
  <c r="AR7" i="13" s="1"/>
  <c r="AQ8" i="13"/>
  <c r="AQ9" i="13"/>
  <c r="AR9" i="13" s="1"/>
  <c r="AQ5" i="13"/>
  <c r="AR5" i="13" s="1"/>
  <c r="AS9" i="13"/>
  <c r="AN9" i="13"/>
  <c r="AS8" i="13"/>
  <c r="AN8" i="13"/>
  <c r="AS7" i="13"/>
  <c r="AN7" i="13"/>
  <c r="AS6" i="13"/>
  <c r="AN6" i="13"/>
  <c r="AR6" i="13" s="1"/>
  <c r="AS5" i="13"/>
  <c r="AN5" i="13"/>
  <c r="AF6" i="13"/>
  <c r="AF7" i="13"/>
  <c r="AF8" i="13"/>
  <c r="AF9" i="13"/>
  <c r="AF5" i="13"/>
  <c r="AH9" i="13"/>
  <c r="AG9" i="13"/>
  <c r="AC9" i="13"/>
  <c r="AH8" i="13"/>
  <c r="AG8" i="13"/>
  <c r="AC8" i="13"/>
  <c r="AH7" i="13"/>
  <c r="AG7" i="13"/>
  <c r="AC7" i="13"/>
  <c r="AH6" i="13"/>
  <c r="AG6" i="13"/>
  <c r="AC6" i="13"/>
  <c r="AH5" i="13"/>
  <c r="AG5" i="13"/>
  <c r="AC5" i="13"/>
  <c r="U6" i="13"/>
  <c r="V6" i="13" s="1"/>
  <c r="U7" i="13"/>
  <c r="V7" i="13" s="1"/>
  <c r="U8" i="13"/>
  <c r="U9" i="13"/>
  <c r="V9" i="13" s="1"/>
  <c r="U5" i="13"/>
  <c r="V5" i="13" s="1"/>
  <c r="W9" i="13"/>
  <c r="R9" i="13"/>
  <c r="W8" i="13"/>
  <c r="V8" i="13"/>
  <c r="R8" i="13"/>
  <c r="W7" i="13"/>
  <c r="R7" i="13"/>
  <c r="W6" i="13"/>
  <c r="R6" i="13"/>
  <c r="W5" i="13"/>
  <c r="R5" i="13"/>
  <c r="L6" i="13"/>
  <c r="L7" i="13"/>
  <c r="L8" i="13"/>
  <c r="L9" i="13"/>
  <c r="L5" i="13"/>
  <c r="G6" i="13"/>
  <c r="J6" i="13"/>
  <c r="G7" i="13"/>
  <c r="J7" i="13"/>
  <c r="G8" i="13"/>
  <c r="J8" i="13"/>
  <c r="K8" i="13" s="1"/>
  <c r="G9" i="13"/>
  <c r="J9" i="13"/>
  <c r="G5" i="13"/>
  <c r="J5" i="13"/>
  <c r="K5" i="13" s="1"/>
  <c r="B5" i="13"/>
  <c r="C5" i="13" s="1"/>
  <c r="B7" i="13"/>
  <c r="Y7" i="13" s="1"/>
  <c r="X7" i="13" s="1"/>
  <c r="B8" i="13"/>
  <c r="Y8" i="13" s="1"/>
  <c r="X8" i="13" s="1"/>
  <c r="B9" i="13"/>
  <c r="C9" i="13" s="1"/>
  <c r="D9" i="13" s="1"/>
  <c r="A6" i="13"/>
  <c r="B6" i="13" s="1"/>
  <c r="Y6" i="13" s="1"/>
  <c r="X6" i="13" s="1"/>
  <c r="AJ6" i="13" l="1"/>
  <c r="AI6" i="13" s="1"/>
  <c r="AJ8" i="13"/>
  <c r="AI8" i="13" s="1"/>
  <c r="Y5" i="13"/>
  <c r="X5" i="13" s="1"/>
  <c r="AU6" i="13"/>
  <c r="AT6" i="13" s="1"/>
  <c r="AU5" i="13"/>
  <c r="AT5" i="13" s="1"/>
  <c r="AJ5" i="13"/>
  <c r="AI5" i="13" s="1"/>
  <c r="AJ7" i="13"/>
  <c r="AI7" i="13" s="1"/>
  <c r="AJ9" i="13"/>
  <c r="AI9" i="13" s="1"/>
  <c r="Y9" i="13"/>
  <c r="X9" i="13" s="1"/>
  <c r="AU9" i="13"/>
  <c r="AT9" i="13" s="1"/>
  <c r="AU7" i="13"/>
  <c r="AT7" i="13" s="1"/>
  <c r="AR8" i="13"/>
  <c r="AU8" i="13" s="1"/>
  <c r="AT8" i="13" s="1"/>
  <c r="K9" i="13"/>
  <c r="N9" i="13" s="1"/>
  <c r="M9" i="13" s="1"/>
  <c r="K7" i="13"/>
  <c r="K6" i="13"/>
  <c r="D5" i="13"/>
  <c r="N5" i="13" s="1"/>
  <c r="M5" i="13" s="1"/>
  <c r="C8" i="13"/>
  <c r="D8" i="13" s="1"/>
  <c r="N8" i="13" s="1"/>
  <c r="M8" i="13" s="1"/>
  <c r="C7" i="13"/>
  <c r="D7" i="13" s="1"/>
  <c r="C6" i="13"/>
  <c r="D6" i="13" s="1"/>
  <c r="A3" i="10"/>
  <c r="B2" i="11"/>
  <c r="N7" i="13" l="1"/>
  <c r="M7" i="13" s="1"/>
  <c r="N6" i="13"/>
  <c r="M6" i="13" s="1"/>
  <c r="L8" i="8"/>
  <c r="L7" i="8"/>
  <c r="L6" i="8"/>
  <c r="H12" i="8"/>
  <c r="H11" i="8"/>
  <c r="H9" i="8"/>
  <c r="H10" i="8"/>
  <c r="J10" i="8" l="1"/>
  <c r="J11" i="8"/>
  <c r="C5" i="6"/>
  <c r="B2" i="12" l="1"/>
  <c r="B3" i="12"/>
  <c r="C10" i="8"/>
  <c r="H3" i="12"/>
  <c r="H4" i="12" s="1"/>
  <c r="E1" i="12"/>
  <c r="H5" i="12" l="1"/>
  <c r="E6" i="7" s="1"/>
  <c r="J6" i="8"/>
  <c r="C5" i="8" l="1"/>
  <c r="C24" i="4"/>
  <c r="C16" i="4"/>
  <c r="C21" i="4" s="1"/>
  <c r="C15" i="4"/>
  <c r="C20" i="4" s="1"/>
  <c r="E14" i="4"/>
  <c r="C19" i="4"/>
  <c r="C14" i="4"/>
  <c r="E10" i="4"/>
  <c r="E11" i="4" s="1"/>
  <c r="C9" i="4"/>
  <c r="E17" i="4" l="1"/>
  <c r="J7" i="8"/>
  <c r="E13" i="4"/>
  <c r="E19" i="4"/>
  <c r="J8" i="8" s="1"/>
  <c r="E15" i="4"/>
  <c r="E16" i="4" s="1"/>
  <c r="E6" i="5"/>
  <c r="E20" i="4" l="1"/>
  <c r="E21" i="4" s="1"/>
  <c r="E18" i="4"/>
  <c r="E22" i="4"/>
  <c r="C10" i="5"/>
  <c r="D10" i="5"/>
  <c r="D23" i="4"/>
  <c r="C8" i="4"/>
  <c r="C13" i="4" s="1"/>
  <c r="C18" i="4" s="1"/>
  <c r="D11" i="5"/>
  <c r="C6" i="5"/>
  <c r="C8" i="5" l="1"/>
  <c r="C7" i="4" l="1"/>
</calcChain>
</file>

<file path=xl/sharedStrings.xml><?xml version="1.0" encoding="utf-8"?>
<sst xmlns="http://schemas.openxmlformats.org/spreadsheetml/2006/main" count="558" uniqueCount="138">
  <si>
    <t>Name</t>
  </si>
  <si>
    <t>Amount</t>
  </si>
  <si>
    <t>Frequency</t>
  </si>
  <si>
    <t>Active?</t>
  </si>
  <si>
    <t>Start date</t>
  </si>
  <si>
    <t>Units</t>
  </si>
  <si>
    <t>Duration</t>
  </si>
  <si>
    <t>Tax</t>
  </si>
  <si>
    <t>Value</t>
  </si>
  <si>
    <t>Raises</t>
  </si>
  <si>
    <t>Val</t>
  </si>
  <si>
    <t>Active Options</t>
  </si>
  <si>
    <t>ON</t>
  </si>
  <si>
    <t>OFF</t>
  </si>
  <si>
    <t>FrequencyOptions</t>
  </si>
  <si>
    <t>MONTHLY</t>
  </si>
  <si>
    <t>YEARLY</t>
  </si>
  <si>
    <t>DateUnitsOptions</t>
  </si>
  <si>
    <t>MONTHS</t>
  </si>
  <si>
    <t>YEARS</t>
  </si>
  <si>
    <t>INF</t>
  </si>
  <si>
    <t>PRECENT OF INCOME</t>
  </si>
  <si>
    <t>ACTUAL AMOUNT</t>
  </si>
  <si>
    <t>IncomeTaxUnitOptions</t>
  </si>
  <si>
    <t>StartDate</t>
  </si>
  <si>
    <t>Expenses</t>
  </si>
  <si>
    <t>Dates</t>
  </si>
  <si>
    <t>Incomes</t>
  </si>
  <si>
    <t>Unit</t>
  </si>
  <si>
    <t>Assets</t>
  </si>
  <si>
    <t>Purchsase</t>
  </si>
  <si>
    <t>Date</t>
  </si>
  <si>
    <t>Sell</t>
  </si>
  <si>
    <t>Gentrification</t>
  </si>
  <si>
    <t>Yield</t>
  </si>
  <si>
    <t>units</t>
  </si>
  <si>
    <t>Delay</t>
  </si>
  <si>
    <t xml:space="preserve">Value </t>
  </si>
  <si>
    <t>Purchase value</t>
  </si>
  <si>
    <t>Sell value</t>
  </si>
  <si>
    <t>how much did it cost you?</t>
  </si>
  <si>
    <t>How much money did you get for selling it?</t>
  </si>
  <si>
    <t>Value rise of the asset with time</t>
  </si>
  <si>
    <t>How much money will you get from the asset as long as you own it? (rent, selling its products etc.)</t>
  </si>
  <si>
    <t>AssetGentrificationUnits</t>
  </si>
  <si>
    <t>PrecentOfValue</t>
  </si>
  <si>
    <t>Loans</t>
  </si>
  <si>
    <t>Start</t>
  </si>
  <si>
    <t>Interest</t>
  </si>
  <si>
    <t>Linked to index?</t>
  </si>
  <si>
    <t>Principal</t>
  </si>
  <si>
    <t>Init value (precents)</t>
  </si>
  <si>
    <t>Savings</t>
  </si>
  <si>
    <t>Start amount</t>
  </si>
  <si>
    <t>Management fee</t>
  </si>
  <si>
    <t>End</t>
  </si>
  <si>
    <t>PRECETS OF VALUE</t>
  </si>
  <si>
    <t>Customer name</t>
  </si>
  <si>
    <t>Hadas and itay</t>
  </si>
  <si>
    <t>Initial position</t>
  </si>
  <si>
    <t>Number of previously sold assets</t>
  </si>
  <si>
    <t>Cash</t>
  </si>
  <si>
    <t>TIPS</t>
  </si>
  <si>
    <t>Assets, savings and loans that will have the start date value 0, will be processed as if they were initally present.</t>
  </si>
  <si>
    <t>Market</t>
  </si>
  <si>
    <t>Stochastic behaviour?</t>
  </si>
  <si>
    <t>Index</t>
  </si>
  <si>
    <t>Period</t>
  </si>
  <si>
    <t>Trend (precents)</t>
  </si>
  <si>
    <t>Variance (precents^2)</t>
  </si>
  <si>
    <t>RaiseFrequencyOptions</t>
  </si>
  <si>
    <t>ONE TIME</t>
  </si>
  <si>
    <t>Months planned</t>
  </si>
  <si>
    <t>Hadas Salary</t>
  </si>
  <si>
    <t>Itay Salary</t>
  </si>
  <si>
    <t>Birth vacation 1</t>
  </si>
  <si>
    <t>Monthly expenses</t>
  </si>
  <si>
    <t>Itay education</t>
  </si>
  <si>
    <t>Car</t>
  </si>
  <si>
    <t>MortgageSim</t>
  </si>
  <si>
    <t>Child1</t>
  </si>
  <si>
    <t>Rent</t>
  </si>
  <si>
    <t>Birth vacation 2</t>
  </si>
  <si>
    <t>Birth vacation 3</t>
  </si>
  <si>
    <t>Child2</t>
  </si>
  <si>
    <t>Child3</t>
  </si>
  <si>
    <t>Hadas reduced</t>
  </si>
  <si>
    <t>Itay work fund</t>
  </si>
  <si>
    <t>Hadas work fund</t>
  </si>
  <si>
    <t>House</t>
  </si>
  <si>
    <t>Lawyer</t>
  </si>
  <si>
    <t>Nadlan</t>
  </si>
  <si>
    <t>Precent</t>
  </si>
  <si>
    <t>Prime</t>
  </si>
  <si>
    <t>Hadas reduced work fund</t>
  </si>
  <si>
    <t>Child 1 fund</t>
  </si>
  <si>
    <t>Child 2 fund</t>
  </si>
  <si>
    <t>Child 3 fund</t>
  </si>
  <si>
    <t>Child 1 begin</t>
  </si>
  <si>
    <t>Child 1 mid</t>
  </si>
  <si>
    <t>Child 1 adult</t>
  </si>
  <si>
    <t>Child 2 begin</t>
  </si>
  <si>
    <t>Child 2 mid</t>
  </si>
  <si>
    <t>Child 2 adult</t>
  </si>
  <si>
    <t>Child 3 begin</t>
  </si>
  <si>
    <t>Child 3 mid</t>
  </si>
  <si>
    <t>Child 3 adult</t>
  </si>
  <si>
    <t>HouseInitPayment</t>
  </si>
  <si>
    <t>Regular</t>
  </si>
  <si>
    <t>House4Room</t>
  </si>
  <si>
    <t>Mortagage</t>
  </si>
  <si>
    <t>Neto init</t>
  </si>
  <si>
    <t>NadlanPrecent</t>
  </si>
  <si>
    <t>LawyerPrecent</t>
  </si>
  <si>
    <t>UseFirstFundItay</t>
  </si>
  <si>
    <t>UseFirstFundHadas</t>
  </si>
  <si>
    <t>Exit
(early exit)
(counting from
the loan start date)</t>
  </si>
  <si>
    <t>Standing order</t>
  </si>
  <si>
    <t>Growth
(Precents per insertion)</t>
  </si>
  <si>
    <t>Itay work fund no raise</t>
  </si>
  <si>
    <t>Stop insertions</t>
  </si>
  <si>
    <t>Report
add report of 
min,max,mean,total</t>
  </si>
  <si>
    <t>InitSavingFactor</t>
  </si>
  <si>
    <t>Mortgage\Years</t>
  </si>
  <si>
    <t>Total</t>
  </si>
  <si>
    <t>Payment</t>
  </si>
  <si>
    <t>Monthly</t>
  </si>
  <si>
    <t>Common</t>
  </si>
  <si>
    <t>Prime TOTAL</t>
  </si>
  <si>
    <t>Regular TOTAL</t>
  </si>
  <si>
    <t>Prime 25</t>
  </si>
  <si>
    <t>All</t>
  </si>
  <si>
    <t>Relative</t>
  </si>
  <si>
    <t>LoanTypes</t>
  </si>
  <si>
    <t>FixedRate-Shpitzer</t>
  </si>
  <si>
    <t>Balloon</t>
  </si>
  <si>
    <t>Loan type</t>
  </si>
  <si>
    <t>Variation frequency
(if relevant)
(In months)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</si>
</sst>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/>
      <top style="double">
        <color rgb="FF3F3F3F"/>
      </top>
      <bottom/>
      <diagonal/>
    </border>
    <border>
      <left style="double">
        <color rgb="FF3F3F3F"/>
      </left>
      <right/>
      <top/>
      <bottom/>
      <diagonal/>
    </border>
    <border>
      <left/>
      <right style="double">
        <color rgb="FF3F3F3F"/>
      </right>
      <top/>
      <bottom/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  <xf numFmtId="0" fontId="3" fillId="4" borderId="8" applyNumberFormat="0" applyAlignment="0" applyProtection="0"/>
    <xf numFmtId="0" fontId="4" fillId="0" borderId="0" applyNumberFormat="0" applyFill="0" applyBorder="0" applyAlignment="0" applyProtection="0"/>
  </cellStyleXfs>
  <cellXfs count="47">
    <xf numFmtId="0" fontId="0" fillId="0" borderId="0" xfId="0"/>
    <xf numFmtId="0" fontId="1" fillId="2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2" xfId="4" applyBorder="1" applyAlignment="1">
      <alignment horizontal="center" vertical="center"/>
    </xf>
    <xf numFmtId="0" fontId="3" fillId="4" borderId="2" xfId="3" applyBorder="1" applyAlignment="1">
      <alignment horizontal="center" vertical="center"/>
    </xf>
    <xf numFmtId="0" fontId="1" fillId="2" borderId="1" xfId="1"/>
    <xf numFmtId="0" fontId="2" fillId="3" borderId="0" xfId="2" applyAlignment="1">
      <alignment horizontal="center"/>
    </xf>
    <xf numFmtId="0" fontId="4" fillId="0" borderId="0" xfId="4" applyAlignment="1">
      <alignment horizontal="center"/>
    </xf>
    <xf numFmtId="0" fontId="0" fillId="0" borderId="0" xfId="0" applyAlignment="1">
      <alignment horizontal="center" vertical="center"/>
    </xf>
    <xf numFmtId="0" fontId="1" fillId="2" borderId="1" xfId="1" applyAlignment="1">
      <alignment horizontal="center" vertical="center"/>
    </xf>
    <xf numFmtId="0" fontId="1" fillId="2" borderId="1" xfId="1" applyAlignment="1">
      <alignment horizontal="center" vertical="center" wrapText="1"/>
    </xf>
    <xf numFmtId="0" fontId="1" fillId="2" borderId="1" xfId="1" applyAlignment="1">
      <alignment horizontal="center" vertical="center"/>
    </xf>
    <xf numFmtId="0" fontId="1" fillId="2" borderId="1" xfId="1" applyAlignment="1">
      <alignment horizontal="center" vertical="center"/>
    </xf>
    <xf numFmtId="0" fontId="1" fillId="2" borderId="1" xfId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" fillId="3" borderId="0" xfId="2" applyAlignment="1">
      <alignment horizontal="center" vertical="center"/>
    </xf>
    <xf numFmtId="0" fontId="2" fillId="5" borderId="0" xfId="2" applyFill="1" applyAlignment="1">
      <alignment horizontal="center" vertical="center"/>
    </xf>
    <xf numFmtId="0" fontId="1" fillId="2" borderId="3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3" xfId="1" applyBorder="1" applyAlignment="1">
      <alignment horizontal="center" vertical="center"/>
    </xf>
    <xf numFmtId="0" fontId="1" fillId="2" borderId="7" xfId="1" applyBorder="1" applyAlignment="1">
      <alignment horizontal="center" vertical="center"/>
    </xf>
    <xf numFmtId="0" fontId="1" fillId="2" borderId="4" xfId="1" applyBorder="1" applyAlignment="1">
      <alignment horizontal="center" vertical="center"/>
    </xf>
    <xf numFmtId="0" fontId="1" fillId="2" borderId="9" xfId="1" applyBorder="1" applyAlignment="1">
      <alignment horizontal="center" vertical="center"/>
    </xf>
    <xf numFmtId="0" fontId="1" fillId="2" borderId="10" xfId="1" applyBorder="1" applyAlignment="1">
      <alignment horizontal="center" vertical="center"/>
    </xf>
    <xf numFmtId="0" fontId="1" fillId="2" borderId="11" xfId="1" applyBorder="1" applyAlignment="1">
      <alignment horizontal="center" vertical="center"/>
    </xf>
    <xf numFmtId="0" fontId="1" fillId="2" borderId="1" xfId="1" applyAlignment="1">
      <alignment horizontal="center" vertical="center"/>
    </xf>
    <xf numFmtId="0" fontId="1" fillId="2" borderId="9" xfId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1" fillId="2" borderId="5" xfId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2" borderId="1" xfId="1" applyAlignment="1">
      <alignment horizontal="center" vertical="center" wrapText="1"/>
    </xf>
    <xf numFmtId="0" fontId="1" fillId="2" borderId="10" xfId="1" applyBorder="1" applyAlignment="1">
      <alignment horizontal="center" vertical="center" wrapText="1"/>
    </xf>
    <xf numFmtId="0" fontId="1" fillId="2" borderId="11" xfId="1" applyBorder="1" applyAlignment="1">
      <alignment horizontal="center" vertical="center" wrapText="1"/>
    </xf>
    <xf numFmtId="0" fontId="1" fillId="2" borderId="3" xfId="1" applyBorder="1" applyAlignment="1">
      <alignment horizontal="center" vertical="center" wrapText="1"/>
    </xf>
    <xf numFmtId="0" fontId="1" fillId="2" borderId="12" xfId="1" applyBorder="1" applyAlignment="1">
      <alignment horizontal="center" vertical="center" wrapText="1"/>
    </xf>
    <xf numFmtId="0" fontId="1" fillId="2" borderId="15" xfId="1" applyBorder="1" applyAlignment="1">
      <alignment horizontal="center" vertical="center" wrapText="1"/>
    </xf>
    <xf numFmtId="0" fontId="1" fillId="2" borderId="13" xfId="1" applyBorder="1" applyAlignment="1">
      <alignment horizontal="center" vertical="center" wrapText="1"/>
    </xf>
    <xf numFmtId="0" fontId="1" fillId="2" borderId="5" xfId="1" applyBorder="1" applyAlignment="1">
      <alignment horizontal="center" vertical="center" wrapText="1"/>
    </xf>
    <xf numFmtId="0" fontId="1" fillId="2" borderId="6" xfId="1" applyBorder="1" applyAlignment="1">
      <alignment horizontal="center" vertical="center" wrapText="1"/>
    </xf>
    <xf numFmtId="0" fontId="1" fillId="2" borderId="14" xfId="1" applyBorder="1" applyAlignment="1">
      <alignment horizontal="center" vertical="center" wrapText="1"/>
    </xf>
    <xf numFmtId="0" fontId="1" fillId="2" borderId="12" xfId="1" applyBorder="1" applyAlignment="1">
      <alignment horizontal="center" vertical="center"/>
    </xf>
    <xf numFmtId="0" fontId="1" fillId="2" borderId="13" xfId="1" applyBorder="1" applyAlignment="1">
      <alignment horizontal="center" vertical="center"/>
    </xf>
    <xf numFmtId="0" fontId="1" fillId="2" borderId="16" xfId="1" applyBorder="1" applyAlignment="1">
      <alignment horizontal="center" vertical="center"/>
    </xf>
    <xf numFmtId="0" fontId="1" fillId="2" borderId="17" xfId="1" applyBorder="1" applyAlignment="1">
      <alignment horizontal="center" vertical="center"/>
    </xf>
    <xf numFmtId="0" fontId="1" fillId="2" borderId="14" xfId="1" applyBorder="1" applyAlignment="1">
      <alignment horizontal="center" vertical="center"/>
    </xf>
  </cellXfs>
  <cellStyles count="5">
    <cellStyle name="Calculation" xfId="3" builtinId="22"/>
    <cellStyle name="Check Cell" xfId="1" builtinId="23"/>
    <cellStyle name="Explanatory Text" xfId="4" builtinId="53"/>
    <cellStyle name="Good" xfId="2" builtinId="26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zoomScale="175" zoomScaleNormal="175" workbookViewId="0">
      <selection activeCell="E5" sqref="E5"/>
    </sheetView>
  </sheetViews>
  <sheetFormatPr defaultRowHeight="14.5" x14ac:dyDescent="0.35"/>
  <cols>
    <col min="1" max="1" width="15.1796875" bestFit="1" customWidth="1"/>
    <col min="2" max="2" width="15.7265625" bestFit="1" customWidth="1"/>
  </cols>
  <sheetData>
    <row r="1" spans="1:2" ht="15.5" thickTop="1" thickBot="1" x14ac:dyDescent="0.4">
      <c r="A1" s="6" t="s">
        <v>57</v>
      </c>
      <c r="B1" s="6" t="s">
        <v>72</v>
      </c>
    </row>
    <row r="2" spans="1:2" ht="15" thickTop="1" x14ac:dyDescent="0.35">
      <c r="A2" t="s">
        <v>58</v>
      </c>
      <c r="B2">
        <f>17*12</f>
        <v>204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zoomScale="130" zoomScaleNormal="130" workbookViewId="0">
      <selection activeCell="B9" sqref="B9"/>
    </sheetView>
  </sheetViews>
  <sheetFormatPr defaultRowHeight="14.5" x14ac:dyDescent="0.35"/>
  <cols>
    <col min="1" max="1" width="14" bestFit="1" customWidth="1"/>
    <col min="2" max="2" width="31" bestFit="1" customWidth="1"/>
    <col min="5" max="5" width="105.7265625" style="3" bestFit="1" customWidth="1"/>
  </cols>
  <sheetData>
    <row r="1" spans="1:5" ht="15.5" thickTop="1" thickBot="1" x14ac:dyDescent="0.4">
      <c r="A1" s="18" t="s">
        <v>59</v>
      </c>
      <c r="B1" s="19"/>
      <c r="E1" s="7" t="s">
        <v>62</v>
      </c>
    </row>
    <row r="2" spans="1:5" ht="15.5" thickTop="1" thickBot="1" x14ac:dyDescent="0.4">
      <c r="A2" s="6" t="s">
        <v>61</v>
      </c>
      <c r="B2" s="6" t="s">
        <v>60</v>
      </c>
      <c r="E2" s="8" t="s">
        <v>63</v>
      </c>
    </row>
    <row r="3" spans="1:5" ht="15" thickTop="1" x14ac:dyDescent="0.35">
      <c r="A3">
        <f>700000-Personal!B1+Personal!H2*Personal!B1/100</f>
        <v>80000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"/>
  <sheetViews>
    <sheetView zoomScale="130" zoomScaleNormal="130" workbookViewId="0">
      <selection activeCell="D8" sqref="D8"/>
    </sheetView>
  </sheetViews>
  <sheetFormatPr defaultColWidth="9.1796875" defaultRowHeight="14.5" x14ac:dyDescent="0.35"/>
  <cols>
    <col min="1" max="1" width="20.54296875" style="2" bestFit="1" customWidth="1"/>
    <col min="2" max="2" width="9.1796875" style="2"/>
    <col min="3" max="3" width="7.26953125" style="2" bestFit="1" customWidth="1"/>
    <col min="4" max="4" width="20.54296875" style="2" bestFit="1" customWidth="1"/>
    <col min="5" max="16384" width="9.1796875" style="2"/>
  </cols>
  <sheetData>
    <row r="1" spans="1:4" ht="15.5" thickTop="1" thickBot="1" x14ac:dyDescent="0.4">
      <c r="A1" s="20" t="s">
        <v>64</v>
      </c>
      <c r="B1" s="21"/>
      <c r="C1" s="21"/>
      <c r="D1" s="22"/>
    </row>
    <row r="2" spans="1:4" ht="15.5" thickTop="1" thickBot="1" x14ac:dyDescent="0.4">
      <c r="A2" s="23" t="s">
        <v>65</v>
      </c>
      <c r="B2" s="20" t="s">
        <v>66</v>
      </c>
      <c r="C2" s="21"/>
      <c r="D2" s="22"/>
    </row>
    <row r="3" spans="1:4" ht="15.5" thickTop="1" thickBot="1" x14ac:dyDescent="0.4">
      <c r="A3" s="25"/>
      <c r="B3" s="20" t="s">
        <v>68</v>
      </c>
      <c r="C3" s="22"/>
      <c r="D3" s="23" t="s">
        <v>69</v>
      </c>
    </row>
    <row r="4" spans="1:4" ht="15.5" thickTop="1" thickBot="1" x14ac:dyDescent="0.4">
      <c r="A4" s="24"/>
      <c r="B4" s="1" t="s">
        <v>8</v>
      </c>
      <c r="C4" s="1" t="s">
        <v>67</v>
      </c>
      <c r="D4" s="24"/>
    </row>
    <row r="5" spans="1:4" ht="15" thickTop="1" x14ac:dyDescent="0.35">
      <c r="A5" s="3" t="s">
        <v>13</v>
      </c>
      <c r="B5" s="2">
        <v>2</v>
      </c>
      <c r="C5" s="3">
        <v>12</v>
      </c>
      <c r="D5" s="2">
        <v>0</v>
      </c>
    </row>
  </sheetData>
  <mergeCells count="5">
    <mergeCell ref="A1:D1"/>
    <mergeCell ref="B2:D2"/>
    <mergeCell ref="B3:C3"/>
    <mergeCell ref="D3:D4"/>
    <mergeCell ref="A2:A4"/>
  </mergeCells>
  <dataValidations count="1">
    <dataValidation type="list" allowBlank="1" showInputMessage="1" showErrorMessage="1" sqref="A5">
      <formula1>ActiveOptions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1"/>
  <sheetViews>
    <sheetView zoomScaleNormal="100" workbookViewId="0">
      <pane ySplit="4" topLeftCell="A5" activePane="bottomLeft" state="frozen"/>
      <selection pane="bottomLeft" activeCell="G11" sqref="G11"/>
    </sheetView>
  </sheetViews>
  <sheetFormatPr defaultColWidth="22.7265625" defaultRowHeight="14.5" x14ac:dyDescent="0.35"/>
  <cols>
    <col min="1" max="1" width="6.81640625" style="9" bestFit="1" customWidth="1"/>
    <col min="2" max="2" width="22.54296875" style="9" bestFit="1" customWidth="1"/>
    <col min="3" max="3" width="11.81640625" style="9" bestFit="1" customWidth="1"/>
    <col min="4" max="4" width="9.453125" style="9" bestFit="1" customWidth="1"/>
    <col min="5" max="5" width="3.81640625" style="9" bestFit="1" customWidth="1"/>
    <col min="6" max="6" width="8.453125" style="9" bestFit="1" customWidth="1"/>
    <col min="7" max="7" width="3.453125" style="9" bestFit="1" customWidth="1"/>
    <col min="8" max="8" width="8.453125" style="9" bestFit="1" customWidth="1"/>
    <col min="9" max="9" width="3.453125" style="9" bestFit="1" customWidth="1"/>
    <col min="10" max="10" width="18.54296875" style="9" bestFit="1" customWidth="1"/>
    <col min="11" max="11" width="6.81640625" style="9" bestFit="1" customWidth="1"/>
    <col min="12" max="12" width="3.453125" style="9" bestFit="1" customWidth="1"/>
    <col min="13" max="13" width="18.54296875" style="9" bestFit="1" customWidth="1"/>
    <col min="14" max="14" width="9.453125" style="9" bestFit="1" customWidth="1"/>
    <col min="15" max="15" width="3.453125" style="9" bestFit="1" customWidth="1"/>
    <col min="16" max="16" width="8.453125" style="9" bestFit="1" customWidth="1"/>
    <col min="17" max="17" width="18.1796875" style="9" bestFit="1" customWidth="1"/>
    <col min="18" max="16384" width="22.7265625" style="9"/>
  </cols>
  <sheetData>
    <row r="1" spans="1:17" ht="15.5" thickTop="1" thickBot="1" x14ac:dyDescent="0.4">
      <c r="A1" s="20" t="s">
        <v>27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2"/>
      <c r="Q1" s="27" t="s">
        <v>121</v>
      </c>
    </row>
    <row r="2" spans="1:17" ht="15.5" thickTop="1" thickBot="1" x14ac:dyDescent="0.4">
      <c r="A2" s="23" t="s">
        <v>3</v>
      </c>
      <c r="B2" s="23" t="s">
        <v>0</v>
      </c>
      <c r="C2" s="23" t="s">
        <v>1</v>
      </c>
      <c r="D2" s="23" t="s">
        <v>2</v>
      </c>
      <c r="E2" s="26" t="s">
        <v>26</v>
      </c>
      <c r="F2" s="26"/>
      <c r="G2" s="26"/>
      <c r="H2" s="26"/>
      <c r="I2" s="26" t="s">
        <v>7</v>
      </c>
      <c r="J2" s="26"/>
      <c r="K2" s="20" t="s">
        <v>9</v>
      </c>
      <c r="L2" s="21"/>
      <c r="M2" s="21"/>
      <c r="N2" s="21"/>
      <c r="O2" s="21"/>
      <c r="P2" s="22"/>
      <c r="Q2" s="25"/>
    </row>
    <row r="3" spans="1:17" ht="15.5" thickTop="1" thickBot="1" x14ac:dyDescent="0.4">
      <c r="A3" s="25"/>
      <c r="B3" s="25"/>
      <c r="C3" s="25"/>
      <c r="D3" s="25"/>
      <c r="E3" s="26" t="s">
        <v>24</v>
      </c>
      <c r="F3" s="26"/>
      <c r="G3" s="26" t="s">
        <v>6</v>
      </c>
      <c r="H3" s="26"/>
      <c r="I3" s="23" t="s">
        <v>10</v>
      </c>
      <c r="J3" s="23" t="s">
        <v>5</v>
      </c>
      <c r="K3" s="23" t="s">
        <v>3</v>
      </c>
      <c r="L3" s="23" t="s">
        <v>10</v>
      </c>
      <c r="M3" s="23" t="s">
        <v>28</v>
      </c>
      <c r="N3" s="23" t="s">
        <v>2</v>
      </c>
      <c r="O3" s="20" t="s">
        <v>31</v>
      </c>
      <c r="P3" s="22"/>
      <c r="Q3" s="25"/>
    </row>
    <row r="4" spans="1:17" ht="15.5" thickTop="1" thickBot="1" x14ac:dyDescent="0.4">
      <c r="A4" s="24"/>
      <c r="B4" s="24"/>
      <c r="C4" s="24"/>
      <c r="D4" s="24"/>
      <c r="E4" s="12" t="s">
        <v>10</v>
      </c>
      <c r="F4" s="12" t="s">
        <v>5</v>
      </c>
      <c r="G4" s="12" t="s">
        <v>10</v>
      </c>
      <c r="H4" s="12" t="s">
        <v>5</v>
      </c>
      <c r="I4" s="24"/>
      <c r="J4" s="24"/>
      <c r="K4" s="24"/>
      <c r="L4" s="24"/>
      <c r="M4" s="24"/>
      <c r="N4" s="24"/>
      <c r="O4" s="12" t="s">
        <v>10</v>
      </c>
      <c r="P4" s="12" t="s">
        <v>5</v>
      </c>
      <c r="Q4" s="24"/>
    </row>
    <row r="5" spans="1:17" ht="15" thickTop="1" x14ac:dyDescent="0.35">
      <c r="A5" s="9" t="s">
        <v>12</v>
      </c>
      <c r="B5" s="9" t="s">
        <v>74</v>
      </c>
      <c r="C5" s="9">
        <v>14000</v>
      </c>
      <c r="D5" s="9">
        <v>1</v>
      </c>
      <c r="E5" s="9">
        <v>0</v>
      </c>
      <c r="F5" s="9" t="s">
        <v>18</v>
      </c>
      <c r="G5" s="9">
        <v>10</v>
      </c>
      <c r="H5" s="9" t="s">
        <v>19</v>
      </c>
      <c r="I5" s="9">
        <v>0</v>
      </c>
      <c r="J5" s="9" t="s">
        <v>21</v>
      </c>
      <c r="K5" s="9" t="s">
        <v>12</v>
      </c>
      <c r="L5" s="9">
        <v>3</v>
      </c>
      <c r="M5" s="9" t="s">
        <v>21</v>
      </c>
      <c r="N5" s="9">
        <v>12</v>
      </c>
      <c r="O5" s="9">
        <v>0</v>
      </c>
      <c r="P5" s="9" t="s">
        <v>18</v>
      </c>
      <c r="Q5" s="9" t="s">
        <v>13</v>
      </c>
    </row>
    <row r="6" spans="1:17" x14ac:dyDescent="0.35">
      <c r="A6" s="9" t="s">
        <v>12</v>
      </c>
      <c r="B6" s="9" t="s">
        <v>74</v>
      </c>
      <c r="C6" s="9">
        <f>C5*(1+L5/100)^G5</f>
        <v>18814.829310817706</v>
      </c>
      <c r="D6" s="9">
        <v>1</v>
      </c>
      <c r="E6" s="9">
        <f>G5*12+1</f>
        <v>121</v>
      </c>
      <c r="F6" s="9" t="s">
        <v>18</v>
      </c>
      <c r="H6" s="9" t="s">
        <v>20</v>
      </c>
      <c r="I6" s="9">
        <v>0</v>
      </c>
      <c r="J6" s="9" t="s">
        <v>21</v>
      </c>
      <c r="K6" s="9" t="s">
        <v>12</v>
      </c>
      <c r="L6" s="9">
        <v>0</v>
      </c>
      <c r="M6" s="9" t="s">
        <v>21</v>
      </c>
      <c r="N6" s="9">
        <v>12</v>
      </c>
      <c r="O6" s="9">
        <v>0</v>
      </c>
      <c r="P6" s="9" t="s">
        <v>18</v>
      </c>
      <c r="Q6" s="9" t="s">
        <v>13</v>
      </c>
    </row>
    <row r="7" spans="1:17" x14ac:dyDescent="0.35">
      <c r="A7" s="9" t="s">
        <v>12</v>
      </c>
      <c r="B7" s="9" t="s">
        <v>73</v>
      </c>
      <c r="C7" s="9">
        <v>15500</v>
      </c>
      <c r="D7" s="9">
        <v>1</v>
      </c>
      <c r="E7" s="9">
        <v>0</v>
      </c>
      <c r="F7" s="9" t="s">
        <v>18</v>
      </c>
      <c r="G7" s="9">
        <v>7</v>
      </c>
      <c r="H7" s="9" t="s">
        <v>18</v>
      </c>
      <c r="I7" s="9">
        <v>0</v>
      </c>
      <c r="J7" s="9" t="s">
        <v>21</v>
      </c>
      <c r="K7" s="9" t="s">
        <v>13</v>
      </c>
      <c r="L7" s="9">
        <v>0</v>
      </c>
      <c r="M7" s="9" t="s">
        <v>21</v>
      </c>
      <c r="N7" s="9">
        <v>12</v>
      </c>
      <c r="O7" s="9">
        <v>0</v>
      </c>
      <c r="P7" s="9" t="s">
        <v>18</v>
      </c>
      <c r="Q7" s="9" t="s">
        <v>13</v>
      </c>
    </row>
    <row r="8" spans="1:17" x14ac:dyDescent="0.35">
      <c r="A8" s="9" t="s">
        <v>12</v>
      </c>
      <c r="B8" s="9" t="s">
        <v>86</v>
      </c>
      <c r="C8" s="9">
        <f>0.8*C7</f>
        <v>12400</v>
      </c>
      <c r="D8" s="9">
        <v>1</v>
      </c>
      <c r="E8" s="9">
        <v>8</v>
      </c>
      <c r="F8" s="9" t="s">
        <v>18</v>
      </c>
      <c r="H8" s="9" t="s">
        <v>20</v>
      </c>
      <c r="I8" s="9">
        <v>0</v>
      </c>
      <c r="J8" s="9" t="s">
        <v>21</v>
      </c>
      <c r="K8" s="9" t="s">
        <v>13</v>
      </c>
      <c r="L8" s="9">
        <v>0</v>
      </c>
      <c r="M8" s="9" t="s">
        <v>21</v>
      </c>
      <c r="N8" s="9">
        <v>12</v>
      </c>
      <c r="O8" s="9">
        <v>0</v>
      </c>
      <c r="P8" s="9" t="s">
        <v>18</v>
      </c>
      <c r="Q8" s="9" t="s">
        <v>13</v>
      </c>
    </row>
    <row r="9" spans="1:17" x14ac:dyDescent="0.35">
      <c r="A9" s="9" t="s">
        <v>12</v>
      </c>
      <c r="B9" s="9" t="s">
        <v>88</v>
      </c>
      <c r="C9" s="9">
        <v>130000</v>
      </c>
      <c r="E9" s="9">
        <v>1.5</v>
      </c>
      <c r="F9" s="9" t="s">
        <v>19</v>
      </c>
      <c r="G9" s="9">
        <v>1</v>
      </c>
      <c r="H9" s="9" t="s">
        <v>18</v>
      </c>
      <c r="I9" s="9">
        <v>0</v>
      </c>
      <c r="J9" s="9" t="s">
        <v>21</v>
      </c>
      <c r="K9" s="9" t="s">
        <v>13</v>
      </c>
      <c r="L9" s="9">
        <v>2</v>
      </c>
      <c r="M9" s="9" t="s">
        <v>21</v>
      </c>
      <c r="N9" s="9">
        <v>12</v>
      </c>
      <c r="O9" s="9">
        <v>0</v>
      </c>
      <c r="P9" s="9" t="s">
        <v>18</v>
      </c>
      <c r="Q9" s="9" t="s">
        <v>13</v>
      </c>
    </row>
    <row r="10" spans="1:17" x14ac:dyDescent="0.35">
      <c r="A10" s="9" t="s">
        <v>12</v>
      </c>
      <c r="B10" s="9" t="s">
        <v>94</v>
      </c>
      <c r="C10" s="9">
        <f>0.8*C9</f>
        <v>104000</v>
      </c>
      <c r="D10" s="9">
        <f>6*12</f>
        <v>72</v>
      </c>
      <c r="E10" s="9">
        <v>7.5</v>
      </c>
      <c r="F10" s="9" t="s">
        <v>19</v>
      </c>
      <c r="G10" s="9">
        <v>1</v>
      </c>
      <c r="H10" s="9" t="s">
        <v>20</v>
      </c>
      <c r="I10" s="9">
        <v>0</v>
      </c>
      <c r="J10" s="9" t="s">
        <v>21</v>
      </c>
      <c r="K10" s="9" t="s">
        <v>13</v>
      </c>
      <c r="L10" s="9">
        <v>2</v>
      </c>
      <c r="M10" s="9" t="s">
        <v>21</v>
      </c>
      <c r="N10" s="9">
        <v>12</v>
      </c>
      <c r="O10" s="9">
        <v>0</v>
      </c>
      <c r="P10" s="9" t="s">
        <v>18</v>
      </c>
      <c r="Q10" s="9" t="s">
        <v>13</v>
      </c>
    </row>
    <row r="11" spans="1:17" x14ac:dyDescent="0.35">
      <c r="A11" s="9" t="s">
        <v>12</v>
      </c>
      <c r="B11" s="9" t="s">
        <v>87</v>
      </c>
      <c r="C11" s="9">
        <v>130000</v>
      </c>
      <c r="D11" s="9">
        <f>6*12</f>
        <v>72</v>
      </c>
      <c r="E11" s="9">
        <v>4</v>
      </c>
      <c r="F11" s="9" t="s">
        <v>19</v>
      </c>
      <c r="G11" s="9">
        <v>1</v>
      </c>
      <c r="H11" s="9" t="s">
        <v>20</v>
      </c>
      <c r="I11" s="9">
        <v>0</v>
      </c>
      <c r="J11" s="9" t="s">
        <v>21</v>
      </c>
      <c r="K11" s="9" t="s">
        <v>13</v>
      </c>
      <c r="L11" s="9">
        <v>2</v>
      </c>
      <c r="M11" s="9" t="s">
        <v>21</v>
      </c>
      <c r="N11" s="9">
        <v>12</v>
      </c>
      <c r="O11" s="9">
        <v>0</v>
      </c>
      <c r="P11" s="9" t="s">
        <v>18</v>
      </c>
      <c r="Q11" s="9" t="s">
        <v>13</v>
      </c>
    </row>
  </sheetData>
  <mergeCells count="18">
    <mergeCell ref="C2:C4"/>
    <mergeCell ref="B2:B4"/>
    <mergeCell ref="A2:A4"/>
    <mergeCell ref="I2:J2"/>
    <mergeCell ref="E2:H2"/>
    <mergeCell ref="E3:F3"/>
    <mergeCell ref="Q1:Q4"/>
    <mergeCell ref="G3:H3"/>
    <mergeCell ref="A1:P1"/>
    <mergeCell ref="K2:P2"/>
    <mergeCell ref="O3:P3"/>
    <mergeCell ref="N3:N4"/>
    <mergeCell ref="M3:M4"/>
    <mergeCell ref="L3:L4"/>
    <mergeCell ref="K3:K4"/>
    <mergeCell ref="J3:J4"/>
    <mergeCell ref="I3:I4"/>
    <mergeCell ref="D2:D4"/>
  </mergeCells>
  <dataValidations count="3">
    <dataValidation type="list" allowBlank="1" showInputMessage="1" showErrorMessage="1" sqref="F5:F11 P5:P11 H5:H11">
      <formula1>DateUnitsOptions</formula1>
    </dataValidation>
    <dataValidation type="list" allowBlank="1" showInputMessage="1" showErrorMessage="1" sqref="J5:J11 M5:M11">
      <formula1>IncomeTaxUnitOptions</formula1>
    </dataValidation>
    <dataValidation type="list" allowBlank="1" showInputMessage="1" showErrorMessage="1" sqref="K5:K11 A5:A11 Q5:Q11">
      <formula1>ActiveOptions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6"/>
  <sheetViews>
    <sheetView zoomScaleNormal="100" workbookViewId="0">
      <pane ySplit="4" topLeftCell="A14" activePane="bottomLeft" state="frozen"/>
      <selection pane="bottomLeft" activeCell="B28" sqref="B28"/>
    </sheetView>
  </sheetViews>
  <sheetFormatPr defaultColWidth="9.1796875" defaultRowHeight="14.5" x14ac:dyDescent="0.35"/>
  <cols>
    <col min="1" max="1" width="7.54296875" style="9" bestFit="1" customWidth="1"/>
    <col min="2" max="2" width="17.7265625" style="9" bestFit="1" customWidth="1"/>
    <col min="3" max="3" width="13.1796875" style="9" bestFit="1" customWidth="1"/>
    <col min="4" max="4" width="10.26953125" style="9" bestFit="1" customWidth="1"/>
    <col min="5" max="5" width="6.1796875" style="9" bestFit="1" customWidth="1"/>
    <col min="6" max="6" width="8.81640625" style="9" bestFit="1" customWidth="1"/>
    <col min="7" max="7" width="6.1796875" style="9" bestFit="1" customWidth="1"/>
    <col min="8" max="8" width="8.81640625" style="9" bestFit="1" customWidth="1"/>
    <col min="9" max="9" width="23.1796875" style="9" customWidth="1"/>
    <col min="10" max="16384" width="9.1796875" style="9"/>
  </cols>
  <sheetData>
    <row r="1" spans="1:9" ht="15.5" thickTop="1" thickBot="1" x14ac:dyDescent="0.4">
      <c r="A1" s="29" t="s">
        <v>25</v>
      </c>
      <c r="B1" s="30"/>
      <c r="C1" s="30"/>
      <c r="D1" s="30"/>
      <c r="E1" s="30"/>
      <c r="F1" s="30"/>
      <c r="G1" s="30"/>
      <c r="H1" s="30"/>
      <c r="I1" s="27" t="s">
        <v>121</v>
      </c>
    </row>
    <row r="2" spans="1:9" ht="15.5" thickTop="1" thickBot="1" x14ac:dyDescent="0.4">
      <c r="A2" s="23" t="s">
        <v>3</v>
      </c>
      <c r="B2" s="23" t="s">
        <v>0</v>
      </c>
      <c r="C2" s="23" t="s">
        <v>1</v>
      </c>
      <c r="D2" s="23" t="s">
        <v>2</v>
      </c>
      <c r="E2" s="20" t="s">
        <v>26</v>
      </c>
      <c r="F2" s="21"/>
      <c r="G2" s="31"/>
      <c r="H2" s="28"/>
      <c r="I2" s="25"/>
    </row>
    <row r="3" spans="1:9" ht="15.5" thickTop="1" thickBot="1" x14ac:dyDescent="0.4">
      <c r="A3" s="25"/>
      <c r="B3" s="25"/>
      <c r="C3" s="25"/>
      <c r="D3" s="25"/>
      <c r="E3" s="20" t="s">
        <v>4</v>
      </c>
      <c r="F3" s="28"/>
      <c r="G3" s="20" t="s">
        <v>6</v>
      </c>
      <c r="H3" s="28"/>
      <c r="I3" s="25"/>
    </row>
    <row r="4" spans="1:9" ht="15.5" thickTop="1" thickBot="1" x14ac:dyDescent="0.4">
      <c r="A4" s="24"/>
      <c r="B4" s="24"/>
      <c r="C4" s="24"/>
      <c r="D4" s="24"/>
      <c r="E4" s="12" t="s">
        <v>8</v>
      </c>
      <c r="F4" s="12" t="s">
        <v>5</v>
      </c>
      <c r="G4" s="12" t="s">
        <v>8</v>
      </c>
      <c r="H4" s="12" t="s">
        <v>5</v>
      </c>
      <c r="I4" s="24"/>
    </row>
    <row r="5" spans="1:9" s="3" customFormat="1" ht="15" thickTop="1" x14ac:dyDescent="0.35">
      <c r="A5" s="3" t="s">
        <v>12</v>
      </c>
      <c r="B5" s="3" t="s">
        <v>81</v>
      </c>
      <c r="C5" s="3">
        <v>3600</v>
      </c>
      <c r="D5" s="9">
        <v>1</v>
      </c>
      <c r="E5" s="3">
        <v>0</v>
      </c>
      <c r="F5" s="3" t="s">
        <v>18</v>
      </c>
      <c r="G5" s="3">
        <v>3</v>
      </c>
      <c r="H5" s="3" t="s">
        <v>18</v>
      </c>
      <c r="I5" s="3" t="s">
        <v>13</v>
      </c>
    </row>
    <row r="6" spans="1:9" s="3" customFormat="1" x14ac:dyDescent="0.35">
      <c r="A6" s="3" t="s">
        <v>12</v>
      </c>
      <c r="B6" s="3" t="s">
        <v>76</v>
      </c>
      <c r="C6" s="3">
        <v>14000</v>
      </c>
      <c r="D6" s="9">
        <v>1</v>
      </c>
      <c r="E6" s="3">
        <v>0</v>
      </c>
      <c r="F6" s="3" t="s">
        <v>18</v>
      </c>
      <c r="H6" s="3" t="s">
        <v>20</v>
      </c>
      <c r="I6" s="3" t="s">
        <v>13</v>
      </c>
    </row>
    <row r="7" spans="1:9" s="3" customFormat="1" x14ac:dyDescent="0.35">
      <c r="A7" s="3" t="s">
        <v>12</v>
      </c>
      <c r="B7" s="3" t="s">
        <v>77</v>
      </c>
      <c r="C7" s="3">
        <f>21000/18</f>
        <v>1166.6666666666667</v>
      </c>
      <c r="D7" s="9">
        <v>1</v>
      </c>
      <c r="E7" s="3">
        <v>0</v>
      </c>
      <c r="F7" s="3" t="s">
        <v>18</v>
      </c>
      <c r="G7" s="3">
        <v>18</v>
      </c>
      <c r="H7" s="3" t="s">
        <v>18</v>
      </c>
      <c r="I7" s="3" t="s">
        <v>13</v>
      </c>
    </row>
    <row r="8" spans="1:9" s="3" customFormat="1" x14ac:dyDescent="0.35">
      <c r="A8" s="3" t="s">
        <v>12</v>
      </c>
      <c r="B8" s="3" t="s">
        <v>75</v>
      </c>
      <c r="C8" s="3">
        <f>Incomes!C7</f>
        <v>15500</v>
      </c>
      <c r="D8" s="9">
        <v>1</v>
      </c>
      <c r="E8" s="3">
        <v>4</v>
      </c>
      <c r="F8" s="3" t="s">
        <v>18</v>
      </c>
      <c r="G8" s="3">
        <v>3</v>
      </c>
      <c r="H8" s="3" t="s">
        <v>18</v>
      </c>
      <c r="I8" s="3" t="s">
        <v>13</v>
      </c>
    </row>
    <row r="9" spans="1:9" s="3" customFormat="1" x14ac:dyDescent="0.35">
      <c r="A9" s="3" t="s">
        <v>12</v>
      </c>
      <c r="B9" s="3" t="s">
        <v>98</v>
      </c>
      <c r="C9" s="3">
        <f>60000/12</f>
        <v>5000</v>
      </c>
      <c r="D9" s="9">
        <v>1</v>
      </c>
      <c r="E9" s="3">
        <v>4</v>
      </c>
      <c r="F9" s="3" t="s">
        <v>18</v>
      </c>
      <c r="G9" s="3">
        <v>2.5</v>
      </c>
      <c r="H9" s="3" t="s">
        <v>19</v>
      </c>
      <c r="I9" s="3" t="s">
        <v>13</v>
      </c>
    </row>
    <row r="10" spans="1:9" s="3" customFormat="1" x14ac:dyDescent="0.35">
      <c r="A10" s="3" t="s">
        <v>12</v>
      </c>
      <c r="B10" s="3" t="s">
        <v>99</v>
      </c>
      <c r="C10" s="3">
        <v>2500</v>
      </c>
      <c r="D10" s="9">
        <v>1</v>
      </c>
      <c r="E10" s="3">
        <f>E9+G9*12</f>
        <v>34</v>
      </c>
      <c r="F10" s="3" t="s">
        <v>18</v>
      </c>
      <c r="G10" s="3">
        <v>10</v>
      </c>
      <c r="H10" s="3" t="s">
        <v>19</v>
      </c>
      <c r="I10" s="3" t="s">
        <v>13</v>
      </c>
    </row>
    <row r="11" spans="1:9" s="3" customFormat="1" x14ac:dyDescent="0.35">
      <c r="A11" s="3" t="s">
        <v>12</v>
      </c>
      <c r="B11" s="3" t="s">
        <v>100</v>
      </c>
      <c r="C11" s="3">
        <v>2500</v>
      </c>
      <c r="D11" s="9">
        <v>1</v>
      </c>
      <c r="E11" s="3">
        <f>E10+G10*12</f>
        <v>154</v>
      </c>
      <c r="F11" s="3" t="s">
        <v>18</v>
      </c>
      <c r="G11" s="3">
        <v>12.5</v>
      </c>
      <c r="H11" s="3" t="s">
        <v>19</v>
      </c>
      <c r="I11" s="3" t="s">
        <v>13</v>
      </c>
    </row>
    <row r="12" spans="1:9" s="3" customFormat="1" x14ac:dyDescent="0.35">
      <c r="A12" s="3" t="s">
        <v>12</v>
      </c>
      <c r="B12" s="3" t="s">
        <v>95</v>
      </c>
      <c r="C12" s="3">
        <v>500</v>
      </c>
      <c r="D12" s="9">
        <v>1</v>
      </c>
      <c r="E12" s="3">
        <v>4</v>
      </c>
      <c r="F12" s="3" t="s">
        <v>18</v>
      </c>
      <c r="G12" s="3">
        <v>25</v>
      </c>
      <c r="H12" s="3" t="s">
        <v>19</v>
      </c>
      <c r="I12" s="3" t="s">
        <v>13</v>
      </c>
    </row>
    <row r="13" spans="1:9" s="3" customFormat="1" x14ac:dyDescent="0.35">
      <c r="A13" s="3" t="s">
        <v>12</v>
      </c>
      <c r="B13" s="3" t="s">
        <v>82</v>
      </c>
      <c r="C13" s="3">
        <f>C8</f>
        <v>15500</v>
      </c>
      <c r="D13" s="9">
        <v>1</v>
      </c>
      <c r="E13" s="3">
        <f>E14+3</f>
        <v>37</v>
      </c>
      <c r="F13" s="3" t="s">
        <v>18</v>
      </c>
      <c r="G13" s="3">
        <v>3</v>
      </c>
      <c r="H13" s="3" t="s">
        <v>18</v>
      </c>
      <c r="I13" s="3" t="s">
        <v>13</v>
      </c>
    </row>
    <row r="14" spans="1:9" s="3" customFormat="1" x14ac:dyDescent="0.35">
      <c r="A14" s="3" t="s">
        <v>12</v>
      </c>
      <c r="B14" s="3" t="s">
        <v>101</v>
      </c>
      <c r="C14" s="3">
        <f>60000/12</f>
        <v>5000</v>
      </c>
      <c r="D14" s="9">
        <v>1</v>
      </c>
      <c r="E14" s="3">
        <f>E9+2.5*12</f>
        <v>34</v>
      </c>
      <c r="F14" s="3" t="s">
        <v>18</v>
      </c>
      <c r="G14" s="3">
        <v>2.5</v>
      </c>
      <c r="H14" s="3" t="s">
        <v>19</v>
      </c>
      <c r="I14" s="3" t="s">
        <v>13</v>
      </c>
    </row>
    <row r="15" spans="1:9" s="3" customFormat="1" x14ac:dyDescent="0.35">
      <c r="A15" s="3" t="s">
        <v>12</v>
      </c>
      <c r="B15" s="3" t="s">
        <v>102</v>
      </c>
      <c r="C15" s="3">
        <f>C10</f>
        <v>2500</v>
      </c>
      <c r="D15" s="9">
        <v>1</v>
      </c>
      <c r="E15" s="3">
        <f>E14+G14*12</f>
        <v>64</v>
      </c>
      <c r="F15" s="3" t="s">
        <v>18</v>
      </c>
      <c r="G15" s="3">
        <v>10</v>
      </c>
      <c r="H15" s="3" t="s">
        <v>19</v>
      </c>
      <c r="I15" s="3" t="s">
        <v>13</v>
      </c>
    </row>
    <row r="16" spans="1:9" s="3" customFormat="1" x14ac:dyDescent="0.35">
      <c r="A16" s="3" t="s">
        <v>12</v>
      </c>
      <c r="B16" s="3" t="s">
        <v>103</v>
      </c>
      <c r="C16" s="3">
        <f>C11</f>
        <v>2500</v>
      </c>
      <c r="D16" s="9">
        <v>1</v>
      </c>
      <c r="E16" s="3">
        <f>E15+G15*12</f>
        <v>184</v>
      </c>
      <c r="F16" s="3" t="s">
        <v>18</v>
      </c>
      <c r="G16" s="3">
        <v>12.5</v>
      </c>
      <c r="H16" s="3" t="s">
        <v>19</v>
      </c>
      <c r="I16" s="3" t="s">
        <v>13</v>
      </c>
    </row>
    <row r="17" spans="1:9" s="3" customFormat="1" x14ac:dyDescent="0.35">
      <c r="A17" s="3" t="s">
        <v>12</v>
      </c>
      <c r="B17" s="3" t="s">
        <v>96</v>
      </c>
      <c r="C17" s="3">
        <v>500</v>
      </c>
      <c r="D17" s="9">
        <v>1</v>
      </c>
      <c r="E17" s="3">
        <f>E14</f>
        <v>34</v>
      </c>
      <c r="F17" s="3" t="s">
        <v>18</v>
      </c>
      <c r="G17" s="3">
        <v>25</v>
      </c>
      <c r="H17" s="3" t="s">
        <v>19</v>
      </c>
      <c r="I17" s="3" t="s">
        <v>13</v>
      </c>
    </row>
    <row r="18" spans="1:9" s="3" customFormat="1" x14ac:dyDescent="0.35">
      <c r="A18" s="3" t="s">
        <v>12</v>
      </c>
      <c r="B18" s="3" t="s">
        <v>83</v>
      </c>
      <c r="C18" s="3">
        <f>C13</f>
        <v>15500</v>
      </c>
      <c r="D18" s="9">
        <v>1</v>
      </c>
      <c r="E18" s="3">
        <f>E19+3</f>
        <v>67</v>
      </c>
      <c r="F18" s="3" t="s">
        <v>18</v>
      </c>
      <c r="G18" s="3">
        <v>3</v>
      </c>
      <c r="H18" s="3" t="s">
        <v>18</v>
      </c>
      <c r="I18" s="3" t="s">
        <v>13</v>
      </c>
    </row>
    <row r="19" spans="1:9" s="3" customFormat="1" x14ac:dyDescent="0.35">
      <c r="A19" s="3" t="s">
        <v>12</v>
      </c>
      <c r="B19" s="3" t="s">
        <v>104</v>
      </c>
      <c r="C19" s="3">
        <f>60000/12</f>
        <v>5000</v>
      </c>
      <c r="D19" s="9">
        <v>1</v>
      </c>
      <c r="E19" s="3">
        <f>E14+2.5*12</f>
        <v>64</v>
      </c>
      <c r="F19" s="3" t="s">
        <v>18</v>
      </c>
      <c r="G19" s="3">
        <v>2.5</v>
      </c>
      <c r="H19" s="3" t="s">
        <v>19</v>
      </c>
      <c r="I19" s="3" t="s">
        <v>13</v>
      </c>
    </row>
    <row r="20" spans="1:9" s="3" customFormat="1" x14ac:dyDescent="0.35">
      <c r="A20" s="3" t="s">
        <v>12</v>
      </c>
      <c r="B20" s="3" t="s">
        <v>105</v>
      </c>
      <c r="C20" s="3">
        <f>C15</f>
        <v>2500</v>
      </c>
      <c r="D20" s="9">
        <v>1</v>
      </c>
      <c r="E20" s="3">
        <f>E19+G19*12</f>
        <v>94</v>
      </c>
      <c r="F20" s="3" t="s">
        <v>18</v>
      </c>
      <c r="G20" s="3">
        <v>10</v>
      </c>
      <c r="H20" s="3" t="s">
        <v>19</v>
      </c>
      <c r="I20" s="3" t="s">
        <v>13</v>
      </c>
    </row>
    <row r="21" spans="1:9" s="3" customFormat="1" x14ac:dyDescent="0.35">
      <c r="A21" s="3" t="s">
        <v>12</v>
      </c>
      <c r="B21" s="3" t="s">
        <v>106</v>
      </c>
      <c r="C21" s="3">
        <f>C16</f>
        <v>2500</v>
      </c>
      <c r="D21" s="9">
        <v>1</v>
      </c>
      <c r="E21" s="3">
        <f>E20+G20*12</f>
        <v>214</v>
      </c>
      <c r="F21" s="3" t="s">
        <v>18</v>
      </c>
      <c r="G21" s="3">
        <v>12.5</v>
      </c>
      <c r="H21" s="3" t="s">
        <v>19</v>
      </c>
      <c r="I21" s="3" t="s">
        <v>13</v>
      </c>
    </row>
    <row r="22" spans="1:9" s="3" customFormat="1" x14ac:dyDescent="0.35">
      <c r="A22" s="3" t="s">
        <v>12</v>
      </c>
      <c r="B22" s="3" t="s">
        <v>97</v>
      </c>
      <c r="C22" s="3">
        <v>500</v>
      </c>
      <c r="D22" s="9">
        <v>1</v>
      </c>
      <c r="E22" s="3">
        <f>E19</f>
        <v>64</v>
      </c>
      <c r="F22" s="3" t="s">
        <v>18</v>
      </c>
      <c r="G22" s="3">
        <v>25</v>
      </c>
      <c r="H22" s="3" t="s">
        <v>19</v>
      </c>
      <c r="I22" s="3" t="s">
        <v>13</v>
      </c>
    </row>
    <row r="23" spans="1:9" s="3" customFormat="1" x14ac:dyDescent="0.35">
      <c r="A23" s="3" t="s">
        <v>12</v>
      </c>
      <c r="B23" s="3" t="s">
        <v>78</v>
      </c>
      <c r="C23" s="3">
        <v>50000</v>
      </c>
      <c r="D23" s="9">
        <f>5*12</f>
        <v>60</v>
      </c>
      <c r="E23" s="3">
        <v>0</v>
      </c>
      <c r="F23" s="3" t="s">
        <v>18</v>
      </c>
      <c r="G23" s="3">
        <v>1</v>
      </c>
      <c r="H23" s="3" t="s">
        <v>20</v>
      </c>
      <c r="I23" s="3" t="s">
        <v>13</v>
      </c>
    </row>
    <row r="24" spans="1:9" s="3" customFormat="1" x14ac:dyDescent="0.35">
      <c r="A24" s="3" t="s">
        <v>13</v>
      </c>
      <c r="B24" s="3" t="s">
        <v>107</v>
      </c>
      <c r="C24" s="3">
        <f>Personal!D2+Personal!D3+Personal!D6</f>
        <v>0</v>
      </c>
      <c r="D24" s="9"/>
      <c r="E24" s="3">
        <v>0</v>
      </c>
      <c r="F24" s="3" t="s">
        <v>18</v>
      </c>
      <c r="G24" s="3">
        <v>1</v>
      </c>
      <c r="H24" s="3" t="s">
        <v>18</v>
      </c>
      <c r="I24" s="3" t="s">
        <v>13</v>
      </c>
    </row>
    <row r="25" spans="1:9" s="3" customFormat="1" x14ac:dyDescent="0.35">
      <c r="A25" s="3" t="s">
        <v>13</v>
      </c>
      <c r="B25" s="3" t="s">
        <v>79</v>
      </c>
      <c r="C25" s="3">
        <v>5000</v>
      </c>
      <c r="D25" s="9">
        <v>1</v>
      </c>
      <c r="E25" s="3">
        <v>0</v>
      </c>
      <c r="F25" s="3" t="s">
        <v>18</v>
      </c>
      <c r="G25" s="3">
        <v>17</v>
      </c>
      <c r="H25" s="3" t="s">
        <v>19</v>
      </c>
      <c r="I25" s="3" t="s">
        <v>13</v>
      </c>
    </row>
    <row r="26" spans="1:9" s="3" customFormat="1" x14ac:dyDescent="0.35">
      <c r="D26" s="9"/>
    </row>
  </sheetData>
  <mergeCells count="9">
    <mergeCell ref="I1:I4"/>
    <mergeCell ref="E3:F3"/>
    <mergeCell ref="G3:H3"/>
    <mergeCell ref="A1:H1"/>
    <mergeCell ref="E2:H2"/>
    <mergeCell ref="D2:D4"/>
    <mergeCell ref="C2:C4"/>
    <mergeCell ref="B2:B4"/>
    <mergeCell ref="A2:A4"/>
  </mergeCells>
  <dataValidations count="3">
    <dataValidation type="list" allowBlank="1" showInputMessage="1" showErrorMessage="1" sqref="D26">
      <formula1>RaiseFrequencyOptions</formula1>
    </dataValidation>
    <dataValidation type="list" allowBlank="1" showInputMessage="1" showErrorMessage="1" sqref="A5:A26 I5:I25">
      <formula1>ActiveOptions</formula1>
    </dataValidation>
    <dataValidation type="list" allowBlank="1" showInputMessage="1" showErrorMessage="1" sqref="H5:H26 F5:F26">
      <formula1>DateUnitsOptions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1"/>
  <sheetViews>
    <sheetView zoomScaleNormal="100" workbookViewId="0">
      <pane ySplit="4" topLeftCell="A5" activePane="bottomLeft" state="frozen"/>
      <selection pane="bottomLeft" activeCell="A5" sqref="A5"/>
    </sheetView>
  </sheetViews>
  <sheetFormatPr defaultColWidth="9.1796875" defaultRowHeight="14.5" x14ac:dyDescent="0.35"/>
  <cols>
    <col min="1" max="1" width="7.54296875" style="9" bestFit="1" customWidth="1"/>
    <col min="2" max="2" width="16.453125" style="9" bestFit="1" customWidth="1"/>
    <col min="3" max="3" width="8.54296875" style="9" bestFit="1" customWidth="1"/>
    <col min="4" max="4" width="6.1796875" style="9" bestFit="1" customWidth="1"/>
    <col min="5" max="5" width="8.81640625" style="9" bestFit="1" customWidth="1"/>
    <col min="6" max="7" width="6.1796875" style="9" bestFit="1" customWidth="1"/>
    <col min="8" max="8" width="6.54296875" style="9" bestFit="1" customWidth="1"/>
    <col min="9" max="9" width="6.1796875" style="9" bestFit="1" customWidth="1"/>
    <col min="10" max="10" width="15.453125" style="9" bestFit="1" customWidth="1"/>
    <col min="11" max="11" width="10.26953125" style="9" bestFit="1" customWidth="1"/>
    <col min="12" max="12" width="6.1796875" style="9" bestFit="1" customWidth="1"/>
    <col min="13" max="13" width="15.453125" style="9" bestFit="1" customWidth="1"/>
    <col min="14" max="14" width="10.26953125" style="9" bestFit="1" customWidth="1"/>
    <col min="15" max="15" width="6.1796875" style="9" bestFit="1" customWidth="1"/>
    <col min="16" max="16" width="8.81640625" style="9" bestFit="1" customWidth="1"/>
    <col min="17" max="17" width="9.1796875" style="9"/>
    <col min="18" max="18" width="15.1796875" style="9" bestFit="1" customWidth="1"/>
    <col min="19" max="19" width="94.1796875" style="9" bestFit="1" customWidth="1"/>
    <col min="20" max="20" width="30.54296875" style="9" bestFit="1" customWidth="1"/>
    <col min="21" max="16384" width="9.1796875" style="9"/>
  </cols>
  <sheetData>
    <row r="1" spans="1:19" ht="15.5" thickTop="1" thickBot="1" x14ac:dyDescent="0.4">
      <c r="A1" s="26" t="s">
        <v>29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</row>
    <row r="2" spans="1:19" ht="25.5" customHeight="1" thickTop="1" thickBot="1" x14ac:dyDescent="0.4">
      <c r="A2" s="26" t="s">
        <v>3</v>
      </c>
      <c r="B2" s="26" t="s">
        <v>0</v>
      </c>
      <c r="C2" s="26" t="s">
        <v>30</v>
      </c>
      <c r="D2" s="26"/>
      <c r="E2" s="26"/>
      <c r="F2" s="26" t="s">
        <v>32</v>
      </c>
      <c r="G2" s="26"/>
      <c r="H2" s="26"/>
      <c r="I2" s="32" t="s">
        <v>33</v>
      </c>
      <c r="J2" s="26"/>
      <c r="K2" s="26"/>
      <c r="L2" s="32" t="s">
        <v>34</v>
      </c>
      <c r="M2" s="26"/>
      <c r="N2" s="26"/>
      <c r="O2" s="26"/>
      <c r="P2" s="26"/>
      <c r="R2" s="5" t="s">
        <v>38</v>
      </c>
      <c r="S2" s="4" t="s">
        <v>40</v>
      </c>
    </row>
    <row r="3" spans="1:19" ht="15.5" thickTop="1" thickBot="1" x14ac:dyDescent="0.4">
      <c r="A3" s="26"/>
      <c r="B3" s="26"/>
      <c r="C3" s="27" t="s">
        <v>37</v>
      </c>
      <c r="D3" s="26" t="s">
        <v>31</v>
      </c>
      <c r="E3" s="26"/>
      <c r="F3" s="32" t="s">
        <v>8</v>
      </c>
      <c r="G3" s="26" t="s">
        <v>31</v>
      </c>
      <c r="H3" s="26"/>
      <c r="I3" s="26" t="s">
        <v>8</v>
      </c>
      <c r="J3" s="26" t="s">
        <v>5</v>
      </c>
      <c r="K3" s="26" t="s">
        <v>2</v>
      </c>
      <c r="L3" s="26" t="s">
        <v>8</v>
      </c>
      <c r="M3" s="26" t="s">
        <v>35</v>
      </c>
      <c r="N3" s="26" t="s">
        <v>2</v>
      </c>
      <c r="O3" s="32" t="s">
        <v>36</v>
      </c>
      <c r="P3" s="26"/>
      <c r="R3" s="5" t="s">
        <v>39</v>
      </c>
      <c r="S3" s="4" t="s">
        <v>41</v>
      </c>
    </row>
    <row r="4" spans="1:19" ht="15.5" thickTop="1" thickBot="1" x14ac:dyDescent="0.4">
      <c r="A4" s="26"/>
      <c r="B4" s="26"/>
      <c r="C4" s="33"/>
      <c r="D4" s="12" t="s">
        <v>8</v>
      </c>
      <c r="E4" s="12" t="s">
        <v>5</v>
      </c>
      <c r="F4" s="32"/>
      <c r="G4" s="12" t="s">
        <v>8</v>
      </c>
      <c r="H4" s="12" t="s">
        <v>5</v>
      </c>
      <c r="I4" s="26"/>
      <c r="J4" s="26"/>
      <c r="K4" s="26"/>
      <c r="L4" s="26"/>
      <c r="M4" s="26"/>
      <c r="N4" s="26"/>
      <c r="O4" s="12" t="s">
        <v>8</v>
      </c>
      <c r="P4" s="12" t="s">
        <v>5</v>
      </c>
      <c r="R4" s="5" t="s">
        <v>33</v>
      </c>
      <c r="S4" s="4" t="s">
        <v>42</v>
      </c>
    </row>
    <row r="5" spans="1:19" ht="15" thickTop="1" x14ac:dyDescent="0.35">
      <c r="A5" s="3" t="s">
        <v>12</v>
      </c>
      <c r="B5" s="3" t="s">
        <v>109</v>
      </c>
      <c r="C5" s="3">
        <f>Personal!B1</f>
        <v>1550000</v>
      </c>
      <c r="D5" s="3">
        <v>1</v>
      </c>
      <c r="E5" s="3" t="s">
        <v>18</v>
      </c>
      <c r="F5" s="3"/>
      <c r="G5" s="3"/>
      <c r="H5" s="3" t="s">
        <v>20</v>
      </c>
      <c r="I5" s="3">
        <v>5</v>
      </c>
      <c r="J5" s="3" t="s">
        <v>45</v>
      </c>
      <c r="K5" s="3">
        <v>12</v>
      </c>
      <c r="L5" s="3">
        <v>0</v>
      </c>
      <c r="M5" s="3" t="s">
        <v>45</v>
      </c>
      <c r="N5" s="3">
        <v>1</v>
      </c>
      <c r="O5" s="3">
        <v>0</v>
      </c>
      <c r="P5" s="3" t="s">
        <v>18</v>
      </c>
      <c r="R5" s="5" t="s">
        <v>34</v>
      </c>
      <c r="S5" s="4" t="s">
        <v>43</v>
      </c>
    </row>
    <row r="6" spans="1:19" x14ac:dyDescent="0.3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</row>
    <row r="7" spans="1:19" x14ac:dyDescent="0.3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</row>
    <row r="8" spans="1:19" x14ac:dyDescent="0.3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</row>
    <row r="9" spans="1:19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</row>
    <row r="10" spans="1:19" x14ac:dyDescent="0.3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</row>
    <row r="11" spans="1:19" x14ac:dyDescent="0.3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</row>
  </sheetData>
  <mergeCells count="18">
    <mergeCell ref="A1:P1"/>
    <mergeCell ref="C2:E2"/>
    <mergeCell ref="F2:H2"/>
    <mergeCell ref="I2:K2"/>
    <mergeCell ref="L2:P2"/>
    <mergeCell ref="O3:P3"/>
    <mergeCell ref="G3:H3"/>
    <mergeCell ref="D3:E3"/>
    <mergeCell ref="B2:B4"/>
    <mergeCell ref="A2:A4"/>
    <mergeCell ref="N3:N4"/>
    <mergeCell ref="C3:C4"/>
    <mergeCell ref="F3:F4"/>
    <mergeCell ref="I3:I4"/>
    <mergeCell ref="J3:J4"/>
    <mergeCell ref="K3:K4"/>
    <mergeCell ref="L3:L4"/>
    <mergeCell ref="M3:M4"/>
  </mergeCells>
  <dataValidations count="3">
    <dataValidation type="list" allowBlank="1" showInputMessage="1" showErrorMessage="1" sqref="A5">
      <formula1>ActiveOptions</formula1>
    </dataValidation>
    <dataValidation type="list" allowBlank="1" showInputMessage="1" showErrorMessage="1" sqref="E5 H5 P5">
      <formula1>DateUnitsOptions</formula1>
    </dataValidation>
    <dataValidation type="list" allowBlank="1" showInputMessage="1" showErrorMessage="1" sqref="J5 M5">
      <formula1>AssetGentrificationUnits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2"/>
  <sheetViews>
    <sheetView tabSelected="1" zoomScale="115" zoomScaleNormal="115" workbookViewId="0">
      <selection activeCell="N5" sqref="N5"/>
    </sheetView>
  </sheetViews>
  <sheetFormatPr defaultColWidth="7.7265625" defaultRowHeight="14.5" x14ac:dyDescent="0.35"/>
  <cols>
    <col min="1" max="1" width="7.54296875" style="9" bestFit="1" customWidth="1"/>
    <col min="2" max="2" width="16.36328125" style="9" bestFit="1" customWidth="1"/>
    <col min="3" max="3" width="17.54296875" style="9" bestFit="1" customWidth="1"/>
    <col min="4" max="4" width="7.7265625" style="9"/>
    <col min="5" max="5" width="8.26953125" style="9" bestFit="1" customWidth="1"/>
    <col min="6" max="6" width="6.1796875" style="9" bestFit="1" customWidth="1"/>
    <col min="7" max="7" width="9.1796875" style="9" bestFit="1" customWidth="1"/>
    <col min="8" max="8" width="6.1796875" style="9" bestFit="1" customWidth="1"/>
    <col min="9" max="9" width="6.453125" style="9" bestFit="1" customWidth="1"/>
    <col min="10" max="10" width="6.1796875" style="9" bestFit="1" customWidth="1"/>
    <col min="11" max="11" width="6.453125" style="9" bestFit="1" customWidth="1"/>
    <col min="12" max="13" width="15.7265625" style="9" bestFit="1" customWidth="1"/>
    <col min="14" max="14" width="19.1796875" style="9" bestFit="1" customWidth="1"/>
    <col min="15" max="15" width="21.1796875" style="9" customWidth="1"/>
    <col min="16" max="16384" width="7.7265625" style="9"/>
  </cols>
  <sheetData>
    <row r="1" spans="1:15" ht="15.5" thickTop="1" thickBot="1" x14ac:dyDescent="0.4">
      <c r="A1" s="20" t="s">
        <v>46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2"/>
    </row>
    <row r="2" spans="1:15" ht="16.5" customHeight="1" thickTop="1" thickBot="1" x14ac:dyDescent="0.4">
      <c r="A2" s="26" t="s">
        <v>3</v>
      </c>
      <c r="B2" s="23" t="s">
        <v>136</v>
      </c>
      <c r="C2" s="27" t="s">
        <v>137</v>
      </c>
      <c r="D2" s="26" t="s">
        <v>0</v>
      </c>
      <c r="E2" s="26" t="s">
        <v>1</v>
      </c>
      <c r="F2" s="20" t="s">
        <v>26</v>
      </c>
      <c r="G2" s="21"/>
      <c r="H2" s="21"/>
      <c r="I2" s="21"/>
      <c r="J2" s="21"/>
      <c r="K2" s="22"/>
      <c r="L2" s="12" t="s">
        <v>50</v>
      </c>
      <c r="M2" s="26" t="s">
        <v>48</v>
      </c>
      <c r="N2" s="26"/>
      <c r="O2" s="27" t="s">
        <v>121</v>
      </c>
    </row>
    <row r="3" spans="1:15" ht="93" customHeight="1" thickTop="1" thickBot="1" x14ac:dyDescent="0.4">
      <c r="A3" s="26"/>
      <c r="B3" s="25"/>
      <c r="C3" s="25"/>
      <c r="D3" s="26"/>
      <c r="E3" s="26"/>
      <c r="F3" s="26" t="s">
        <v>47</v>
      </c>
      <c r="G3" s="26"/>
      <c r="H3" s="26" t="s">
        <v>6</v>
      </c>
      <c r="I3" s="26"/>
      <c r="J3" s="35" t="s">
        <v>116</v>
      </c>
      <c r="K3" s="22"/>
      <c r="L3" s="26" t="s">
        <v>49</v>
      </c>
      <c r="M3" s="26" t="s">
        <v>49</v>
      </c>
      <c r="N3" s="26" t="s">
        <v>51</v>
      </c>
      <c r="O3" s="34"/>
    </row>
    <row r="4" spans="1:15" ht="15.5" thickTop="1" thickBot="1" x14ac:dyDescent="0.4">
      <c r="A4" s="26"/>
      <c r="B4" s="24"/>
      <c r="C4" s="24"/>
      <c r="D4" s="26"/>
      <c r="E4" s="26"/>
      <c r="F4" s="12" t="s">
        <v>8</v>
      </c>
      <c r="G4" s="12" t="s">
        <v>5</v>
      </c>
      <c r="H4" s="12" t="s">
        <v>8</v>
      </c>
      <c r="I4" s="12" t="s">
        <v>5</v>
      </c>
      <c r="J4" s="12" t="s">
        <v>8</v>
      </c>
      <c r="K4" s="12" t="s">
        <v>5</v>
      </c>
      <c r="L4" s="26"/>
      <c r="M4" s="26"/>
      <c r="N4" s="26"/>
      <c r="O4" s="34"/>
    </row>
    <row r="5" spans="1:15" ht="15" thickTop="1" x14ac:dyDescent="0.35">
      <c r="A5" s="3" t="s">
        <v>12</v>
      </c>
      <c r="B5" s="3" t="s">
        <v>135</v>
      </c>
      <c r="C5" s="3"/>
      <c r="D5" s="3" t="s">
        <v>93</v>
      </c>
      <c r="E5" s="3">
        <v>700000</v>
      </c>
      <c r="F5" s="3">
        <v>1</v>
      </c>
      <c r="G5" s="3" t="s">
        <v>18</v>
      </c>
      <c r="H5" s="3">
        <v>7</v>
      </c>
      <c r="I5" s="3" t="s">
        <v>19</v>
      </c>
      <c r="J5" s="3"/>
      <c r="K5" s="3" t="s">
        <v>20</v>
      </c>
      <c r="L5" s="3" t="s">
        <v>13</v>
      </c>
      <c r="M5" s="3" t="s">
        <v>13</v>
      </c>
      <c r="N5" s="3">
        <v>1.1000000000000001</v>
      </c>
      <c r="O5" s="3" t="s">
        <v>12</v>
      </c>
    </row>
    <row r="6" spans="1:15" x14ac:dyDescent="0.35">
      <c r="A6" s="3" t="s">
        <v>13</v>
      </c>
      <c r="B6" s="3" t="s">
        <v>134</v>
      </c>
      <c r="C6" s="3"/>
      <c r="D6" s="3" t="s">
        <v>108</v>
      </c>
      <c r="E6" s="3">
        <f>Personal!H5</f>
        <v>620000</v>
      </c>
      <c r="F6" s="3">
        <v>1</v>
      </c>
      <c r="G6" s="3" t="s">
        <v>18</v>
      </c>
      <c r="H6" s="3">
        <v>13</v>
      </c>
      <c r="I6" s="3" t="s">
        <v>19</v>
      </c>
      <c r="J6" s="3"/>
      <c r="K6" s="3" t="s">
        <v>20</v>
      </c>
      <c r="L6" s="3" t="s">
        <v>13</v>
      </c>
      <c r="M6" s="3" t="s">
        <v>13</v>
      </c>
      <c r="N6" s="3">
        <v>3.25</v>
      </c>
      <c r="O6" s="3" t="s">
        <v>12</v>
      </c>
    </row>
    <row r="7" spans="1:15" x14ac:dyDescent="0.3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5" x14ac:dyDescent="0.3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5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15" x14ac:dyDescent="0.3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15" x14ac:dyDescent="0.3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15" x14ac:dyDescent="0.3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5" x14ac:dyDescent="0.3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15" x14ac:dyDescent="0.3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15" x14ac:dyDescent="0.3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15" x14ac:dyDescent="0.3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</sheetData>
  <mergeCells count="15">
    <mergeCell ref="A1:O1"/>
    <mergeCell ref="O2:O4"/>
    <mergeCell ref="D2:D4"/>
    <mergeCell ref="A2:A4"/>
    <mergeCell ref="L3:L4"/>
    <mergeCell ref="M3:M4"/>
    <mergeCell ref="F2:K2"/>
    <mergeCell ref="J3:K3"/>
    <mergeCell ref="N3:N4"/>
    <mergeCell ref="F3:G3"/>
    <mergeCell ref="H3:I3"/>
    <mergeCell ref="M2:N2"/>
    <mergeCell ref="E2:E4"/>
    <mergeCell ref="B2:B4"/>
    <mergeCell ref="C2:C4"/>
  </mergeCells>
  <dataValidations count="3">
    <dataValidation type="list" allowBlank="1" showInputMessage="1" showErrorMessage="1" sqref="A5:A6 O5:O6 L5:M6">
      <formula1>ActiveOptions</formula1>
    </dataValidation>
    <dataValidation type="list" allowBlank="1" showInputMessage="1" showErrorMessage="1" sqref="I5:I6 K5:K6 G5:G6">
      <formula1>DateUnitsOptions</formula1>
    </dataValidation>
    <dataValidation type="list" allowBlank="1" showInputMessage="1" showErrorMessage="1" sqref="B5:B6">
      <formula1>LoanTypes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"/>
  <sheetViews>
    <sheetView zoomScale="85" zoomScaleNormal="85" workbookViewId="0">
      <selection activeCell="J11" sqref="J11"/>
    </sheetView>
  </sheetViews>
  <sheetFormatPr defaultColWidth="9.1796875" defaultRowHeight="14.5" x14ac:dyDescent="0.35"/>
  <cols>
    <col min="1" max="1" width="7.54296875" style="2" bestFit="1" customWidth="1"/>
    <col min="2" max="2" width="23.81640625" style="2" bestFit="1" customWidth="1"/>
    <col min="3" max="3" width="12.7265625" style="2" bestFit="1" customWidth="1"/>
    <col min="4" max="4" width="6.1796875" style="2" bestFit="1" customWidth="1"/>
    <col min="5" max="5" width="17.7265625" style="2" bestFit="1" customWidth="1"/>
    <col min="6" max="6" width="10.26953125" style="2" bestFit="1" customWidth="1"/>
    <col min="7" max="7" width="8.26953125" style="2" bestFit="1" customWidth="1"/>
    <col min="8" max="8" width="10.26953125" style="9" bestFit="1" customWidth="1"/>
    <col min="9" max="9" width="13" style="9" bestFit="1" customWidth="1"/>
    <col min="10" max="10" width="6.1796875" style="2" bestFit="1" customWidth="1"/>
    <col min="11" max="11" width="9.1796875" style="2" bestFit="1" customWidth="1"/>
    <col min="12" max="12" width="6.1796875" style="9" bestFit="1" customWidth="1"/>
    <col min="13" max="13" width="9.1796875" style="9" customWidth="1"/>
    <col min="14" max="14" width="6.1796875" style="2" bestFit="1" customWidth="1"/>
    <col min="15" max="15" width="9.1796875" style="2" bestFit="1" customWidth="1"/>
    <col min="16" max="16" width="6.1796875" style="2" bestFit="1" customWidth="1"/>
    <col min="17" max="17" width="17.7265625" style="2" bestFit="1" customWidth="1"/>
    <col min="18" max="18" width="10.26953125" style="2" bestFit="1" customWidth="1"/>
    <col min="19" max="19" width="15.7265625" style="2" bestFit="1" customWidth="1"/>
    <col min="20" max="20" width="9.1796875" style="2"/>
    <col min="21" max="21" width="18.1796875" style="2" bestFit="1" customWidth="1"/>
    <col min="22" max="22" width="2.26953125" style="2" bestFit="1" customWidth="1"/>
    <col min="23" max="16384" width="9.1796875" style="2"/>
  </cols>
  <sheetData>
    <row r="1" spans="1:22" ht="15.5" thickTop="1" thickBot="1" x14ac:dyDescent="0.4">
      <c r="A1" s="26" t="s">
        <v>52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U1" s="2" t="s">
        <v>114</v>
      </c>
      <c r="V1" s="2">
        <v>0</v>
      </c>
    </row>
    <row r="2" spans="1:22" ht="16.5" customHeight="1" thickTop="1" thickBot="1" x14ac:dyDescent="0.4">
      <c r="A2" s="26" t="s">
        <v>3</v>
      </c>
      <c r="B2" s="26" t="s">
        <v>0</v>
      </c>
      <c r="C2" s="26" t="s">
        <v>53</v>
      </c>
      <c r="D2" s="26" t="s">
        <v>54</v>
      </c>
      <c r="E2" s="26"/>
      <c r="F2" s="26"/>
      <c r="G2" s="36" t="s">
        <v>117</v>
      </c>
      <c r="H2" s="37"/>
      <c r="I2" s="38"/>
      <c r="J2" s="26" t="s">
        <v>26</v>
      </c>
      <c r="K2" s="26"/>
      <c r="L2" s="26"/>
      <c r="M2" s="26"/>
      <c r="N2" s="26"/>
      <c r="O2" s="26"/>
      <c r="P2" s="26" t="s">
        <v>48</v>
      </c>
      <c r="Q2" s="26"/>
      <c r="R2" s="26"/>
      <c r="S2" s="26"/>
      <c r="U2" s="2" t="s">
        <v>115</v>
      </c>
      <c r="V2" s="2">
        <v>0</v>
      </c>
    </row>
    <row r="3" spans="1:22" ht="15.5" thickTop="1" thickBot="1" x14ac:dyDescent="0.4">
      <c r="A3" s="26"/>
      <c r="B3" s="26"/>
      <c r="C3" s="26"/>
      <c r="D3" s="26" t="s">
        <v>8</v>
      </c>
      <c r="E3" s="26" t="s">
        <v>5</v>
      </c>
      <c r="F3" s="26" t="s">
        <v>2</v>
      </c>
      <c r="G3" s="39"/>
      <c r="H3" s="40"/>
      <c r="I3" s="41"/>
      <c r="J3" s="20" t="s">
        <v>47</v>
      </c>
      <c r="K3" s="22"/>
      <c r="L3" s="20" t="s">
        <v>120</v>
      </c>
      <c r="M3" s="22"/>
      <c r="N3" s="20" t="s">
        <v>55</v>
      </c>
      <c r="O3" s="22"/>
      <c r="P3" s="26" t="s">
        <v>8</v>
      </c>
      <c r="Q3" s="26" t="s">
        <v>5</v>
      </c>
      <c r="R3" s="26" t="s">
        <v>2</v>
      </c>
      <c r="S3" s="26" t="s">
        <v>49</v>
      </c>
    </row>
    <row r="4" spans="1:22" ht="44.5" thickTop="1" thickBot="1" x14ac:dyDescent="0.4">
      <c r="A4" s="26"/>
      <c r="B4" s="26"/>
      <c r="C4" s="26"/>
      <c r="D4" s="26"/>
      <c r="E4" s="26"/>
      <c r="F4" s="26"/>
      <c r="G4" s="10" t="s">
        <v>1</v>
      </c>
      <c r="H4" s="10" t="s">
        <v>2</v>
      </c>
      <c r="I4" s="11" t="s">
        <v>118</v>
      </c>
      <c r="J4" s="1" t="s">
        <v>8</v>
      </c>
      <c r="K4" s="1" t="s">
        <v>5</v>
      </c>
      <c r="L4" s="10" t="s">
        <v>8</v>
      </c>
      <c r="M4" s="10" t="s">
        <v>5</v>
      </c>
      <c r="N4" s="1" t="s">
        <v>8</v>
      </c>
      <c r="O4" s="1" t="s">
        <v>5</v>
      </c>
      <c r="P4" s="26"/>
      <c r="Q4" s="26"/>
      <c r="R4" s="26"/>
      <c r="S4" s="26"/>
    </row>
    <row r="5" spans="1:22" ht="15" thickTop="1" x14ac:dyDescent="0.35">
      <c r="A5" s="3" t="s">
        <v>13</v>
      </c>
      <c r="B5" s="2" t="s">
        <v>111</v>
      </c>
      <c r="C5" s="2">
        <f>('Initial position'!A3+Loans!E5+Loans!E6-Assets!C5)*InitSavingFactor</f>
        <v>0</v>
      </c>
      <c r="D5" s="2">
        <v>0</v>
      </c>
      <c r="E5" s="3" t="s">
        <v>56</v>
      </c>
      <c r="F5" s="3">
        <v>12</v>
      </c>
      <c r="G5" s="2">
        <v>1000</v>
      </c>
      <c r="H5" s="9">
        <v>1</v>
      </c>
      <c r="I5" s="9">
        <v>0</v>
      </c>
      <c r="J5" s="2">
        <v>1</v>
      </c>
      <c r="K5" s="3" t="s">
        <v>18</v>
      </c>
      <c r="M5" s="3" t="s">
        <v>20</v>
      </c>
      <c r="O5" s="3" t="s">
        <v>20</v>
      </c>
      <c r="P5" s="2">
        <v>0</v>
      </c>
      <c r="Q5" s="3" t="s">
        <v>56</v>
      </c>
      <c r="R5" s="3">
        <v>12</v>
      </c>
      <c r="S5" s="3" t="s">
        <v>12</v>
      </c>
    </row>
    <row r="6" spans="1:22" s="9" customFormat="1" x14ac:dyDescent="0.35">
      <c r="A6" s="3" t="s">
        <v>12</v>
      </c>
      <c r="B6" s="9" t="s">
        <v>80</v>
      </c>
      <c r="C6" s="9">
        <v>0</v>
      </c>
      <c r="D6" s="9">
        <v>0</v>
      </c>
      <c r="E6" s="3" t="s">
        <v>56</v>
      </c>
      <c r="F6" s="3">
        <v>12</v>
      </c>
      <c r="G6" s="9">
        <v>500</v>
      </c>
      <c r="H6" s="9">
        <v>1</v>
      </c>
      <c r="I6" s="9">
        <v>0</v>
      </c>
      <c r="J6" s="9">
        <f>Expenses!E9</f>
        <v>4</v>
      </c>
      <c r="K6" s="3" t="s">
        <v>18</v>
      </c>
      <c r="L6" s="9">
        <f>$J6+25*12</f>
        <v>304</v>
      </c>
      <c r="M6" s="3" t="s">
        <v>18</v>
      </c>
      <c r="O6" s="3" t="s">
        <v>20</v>
      </c>
      <c r="P6" s="9">
        <v>3</v>
      </c>
      <c r="Q6" s="3" t="s">
        <v>56</v>
      </c>
      <c r="R6" s="3">
        <v>12</v>
      </c>
      <c r="S6" s="3" t="s">
        <v>13</v>
      </c>
    </row>
    <row r="7" spans="1:22" s="9" customFormat="1" x14ac:dyDescent="0.35">
      <c r="A7" s="3" t="s">
        <v>12</v>
      </c>
      <c r="B7" s="9" t="s">
        <v>84</v>
      </c>
      <c r="C7" s="9">
        <v>0</v>
      </c>
      <c r="D7" s="9">
        <v>0</v>
      </c>
      <c r="E7" s="3" t="s">
        <v>56</v>
      </c>
      <c r="F7" s="3">
        <v>12</v>
      </c>
      <c r="G7" s="9">
        <v>500</v>
      </c>
      <c r="H7" s="9">
        <v>1</v>
      </c>
      <c r="I7" s="9">
        <v>0</v>
      </c>
      <c r="J7" s="9">
        <f>Expenses!E14</f>
        <v>34</v>
      </c>
      <c r="K7" s="3" t="s">
        <v>18</v>
      </c>
      <c r="L7" s="9">
        <f t="shared" ref="L7:L8" si="0">$J7+25*12</f>
        <v>334</v>
      </c>
      <c r="M7" s="3" t="s">
        <v>18</v>
      </c>
      <c r="O7" s="3" t="s">
        <v>20</v>
      </c>
      <c r="P7" s="9">
        <v>3</v>
      </c>
      <c r="Q7" s="3" t="s">
        <v>56</v>
      </c>
      <c r="R7" s="3">
        <v>12</v>
      </c>
      <c r="S7" s="3" t="s">
        <v>13</v>
      </c>
    </row>
    <row r="8" spans="1:22" s="9" customFormat="1" x14ac:dyDescent="0.35">
      <c r="A8" s="3" t="s">
        <v>12</v>
      </c>
      <c r="B8" s="9" t="s">
        <v>85</v>
      </c>
      <c r="C8" s="9">
        <v>0</v>
      </c>
      <c r="D8" s="9">
        <v>0</v>
      </c>
      <c r="E8" s="3" t="s">
        <v>56</v>
      </c>
      <c r="F8" s="3">
        <v>12</v>
      </c>
      <c r="G8" s="9">
        <v>500</v>
      </c>
      <c r="H8" s="9">
        <v>1</v>
      </c>
      <c r="I8" s="9">
        <v>0</v>
      </c>
      <c r="J8" s="9">
        <f>Expenses!E19</f>
        <v>64</v>
      </c>
      <c r="K8" s="3" t="s">
        <v>18</v>
      </c>
      <c r="L8" s="9">
        <f t="shared" si="0"/>
        <v>364</v>
      </c>
      <c r="M8" s="3" t="s">
        <v>18</v>
      </c>
      <c r="O8" s="3" t="s">
        <v>20</v>
      </c>
      <c r="P8" s="9">
        <v>3</v>
      </c>
      <c r="Q8" s="3" t="s">
        <v>56</v>
      </c>
      <c r="R8" s="3">
        <v>12</v>
      </c>
      <c r="S8" s="3" t="s">
        <v>13</v>
      </c>
    </row>
    <row r="9" spans="1:22" s="9" customFormat="1" x14ac:dyDescent="0.35">
      <c r="A9" s="3" t="s">
        <v>12</v>
      </c>
      <c r="B9" s="9" t="s">
        <v>88</v>
      </c>
      <c r="C9" s="9">
        <v>130000</v>
      </c>
      <c r="D9" s="9">
        <v>0</v>
      </c>
      <c r="E9" s="3" t="s">
        <v>56</v>
      </c>
      <c r="F9" s="3">
        <v>12</v>
      </c>
      <c r="G9" s="9">
        <v>0</v>
      </c>
      <c r="H9" s="9">
        <f>6*12</f>
        <v>72</v>
      </c>
      <c r="I9" s="9">
        <v>0</v>
      </c>
      <c r="J9" s="9">
        <v>1.5</v>
      </c>
      <c r="K9" s="3" t="s">
        <v>19</v>
      </c>
      <c r="L9" s="9">
        <v>2</v>
      </c>
      <c r="M9" s="3" t="s">
        <v>19</v>
      </c>
      <c r="O9" s="3" t="s">
        <v>20</v>
      </c>
      <c r="P9" s="9">
        <v>3</v>
      </c>
      <c r="Q9" s="3" t="s">
        <v>56</v>
      </c>
      <c r="R9" s="3">
        <v>12</v>
      </c>
      <c r="S9" s="3" t="s">
        <v>13</v>
      </c>
    </row>
    <row r="10" spans="1:22" s="9" customFormat="1" x14ac:dyDescent="0.35">
      <c r="A10" s="3" t="s">
        <v>12</v>
      </c>
      <c r="B10" s="9" t="s">
        <v>94</v>
      </c>
      <c r="C10" s="9">
        <f>0.8*C9</f>
        <v>104000</v>
      </c>
      <c r="D10" s="9">
        <v>0</v>
      </c>
      <c r="E10" s="3" t="s">
        <v>56</v>
      </c>
      <c r="F10" s="3">
        <v>12</v>
      </c>
      <c r="G10" s="9">
        <v>0</v>
      </c>
      <c r="H10" s="9">
        <f>6*12</f>
        <v>72</v>
      </c>
      <c r="I10" s="9">
        <v>0</v>
      </c>
      <c r="J10" s="9">
        <f>Incomes!E10+6*UseFirstFundHadas</f>
        <v>7.5</v>
      </c>
      <c r="K10" s="3" t="s">
        <v>19</v>
      </c>
      <c r="M10" s="3" t="s">
        <v>20</v>
      </c>
      <c r="O10" s="3" t="s">
        <v>20</v>
      </c>
      <c r="P10" s="9">
        <v>3</v>
      </c>
      <c r="Q10" s="3" t="s">
        <v>56</v>
      </c>
      <c r="R10" s="3">
        <v>12</v>
      </c>
      <c r="S10" s="3" t="s">
        <v>13</v>
      </c>
    </row>
    <row r="11" spans="1:22" s="9" customFormat="1" x14ac:dyDescent="0.35">
      <c r="A11" s="3" t="s">
        <v>12</v>
      </c>
      <c r="B11" s="9" t="s">
        <v>87</v>
      </c>
      <c r="C11" s="9">
        <v>130000</v>
      </c>
      <c r="D11" s="9">
        <v>0</v>
      </c>
      <c r="E11" s="3" t="s">
        <v>56</v>
      </c>
      <c r="F11" s="3">
        <v>12</v>
      </c>
      <c r="G11" s="9">
        <v>0</v>
      </c>
      <c r="H11" s="9">
        <f>6*12</f>
        <v>72</v>
      </c>
      <c r="I11" s="9">
        <v>0</v>
      </c>
      <c r="J11" s="9">
        <f>Incomes!E11+6*UseFirstFundItay</f>
        <v>4</v>
      </c>
      <c r="K11" s="3" t="s">
        <v>19</v>
      </c>
      <c r="M11" s="3" t="s">
        <v>19</v>
      </c>
      <c r="O11" s="3" t="s">
        <v>20</v>
      </c>
      <c r="P11" s="9">
        <v>3</v>
      </c>
      <c r="Q11" s="3" t="s">
        <v>56</v>
      </c>
      <c r="R11" s="3">
        <v>12</v>
      </c>
      <c r="S11" s="3" t="s">
        <v>13</v>
      </c>
    </row>
    <row r="12" spans="1:22" s="9" customFormat="1" x14ac:dyDescent="0.35">
      <c r="A12" s="3" t="s">
        <v>12</v>
      </c>
      <c r="B12" s="9" t="s">
        <v>119</v>
      </c>
      <c r="C12" s="9">
        <v>150000</v>
      </c>
      <c r="D12" s="9">
        <v>0</v>
      </c>
      <c r="E12" s="3" t="s">
        <v>56</v>
      </c>
      <c r="F12" s="3">
        <v>12</v>
      </c>
      <c r="G12" s="9">
        <v>0</v>
      </c>
      <c r="H12" s="9">
        <f>6*12</f>
        <v>72</v>
      </c>
      <c r="I12" s="9">
        <v>0</v>
      </c>
      <c r="J12" s="9">
        <v>10</v>
      </c>
      <c r="K12" s="3" t="s">
        <v>19</v>
      </c>
      <c r="M12" s="3" t="s">
        <v>20</v>
      </c>
      <c r="O12" s="3" t="s">
        <v>20</v>
      </c>
      <c r="P12" s="9">
        <v>3</v>
      </c>
      <c r="Q12" s="3" t="s">
        <v>56</v>
      </c>
      <c r="R12" s="3">
        <v>12</v>
      </c>
      <c r="S12" s="3" t="s">
        <v>13</v>
      </c>
    </row>
  </sheetData>
  <mergeCells count="18">
    <mergeCell ref="A1:S1"/>
    <mergeCell ref="P3:P4"/>
    <mergeCell ref="Q3:Q4"/>
    <mergeCell ref="R3:R4"/>
    <mergeCell ref="A2:A4"/>
    <mergeCell ref="S3:S4"/>
    <mergeCell ref="F3:F4"/>
    <mergeCell ref="E3:E4"/>
    <mergeCell ref="D3:D4"/>
    <mergeCell ref="C2:C4"/>
    <mergeCell ref="B2:B4"/>
    <mergeCell ref="D2:F2"/>
    <mergeCell ref="J2:O2"/>
    <mergeCell ref="P2:S2"/>
    <mergeCell ref="G2:I3"/>
    <mergeCell ref="N3:O3"/>
    <mergeCell ref="J3:K3"/>
    <mergeCell ref="L3:M3"/>
  </mergeCells>
  <dataValidations count="3">
    <dataValidation type="list" allowBlank="1" showInputMessage="1" showErrorMessage="1" sqref="S5:S12 A5:A12">
      <formula1>ActiveOptions</formula1>
    </dataValidation>
    <dataValidation type="list" allowBlank="1" showInputMessage="1" showErrorMessage="1" sqref="Q5:Q12 E5:E12">
      <formula1>AssetGentrificationUnits</formula1>
    </dataValidation>
    <dataValidation type="list" allowBlank="1" showInputMessage="1" showErrorMessage="1" sqref="T9:T12 M5:M12 K5:K12 O5:O12">
      <formula1>DateUnitsOptions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4"/>
  <sheetViews>
    <sheetView workbookViewId="0">
      <selection activeCell="G11" sqref="G11"/>
    </sheetView>
  </sheetViews>
  <sheetFormatPr defaultRowHeight="14.5" x14ac:dyDescent="0.35"/>
  <cols>
    <col min="1" max="1" width="14.1796875" bestFit="1" customWidth="1"/>
    <col min="2" max="2" width="17.54296875" bestFit="1" customWidth="1"/>
    <col min="3" max="3" width="16.81640625" bestFit="1" customWidth="1"/>
    <col min="4" max="4" width="21.7265625" bestFit="1" customWidth="1"/>
    <col min="5" max="5" width="23.1796875" bestFit="1" customWidth="1"/>
    <col min="6" max="6" width="22.453125" bestFit="1" customWidth="1"/>
    <col min="7" max="7" width="16.36328125" bestFit="1" customWidth="1"/>
  </cols>
  <sheetData>
    <row r="1" spans="1:7" x14ac:dyDescent="0.35">
      <c r="A1" t="s">
        <v>11</v>
      </c>
      <c r="B1" t="s">
        <v>14</v>
      </c>
      <c r="C1" t="s">
        <v>17</v>
      </c>
      <c r="D1" t="s">
        <v>23</v>
      </c>
      <c r="E1" t="s">
        <v>44</v>
      </c>
      <c r="F1" t="s">
        <v>70</v>
      </c>
      <c r="G1" t="s">
        <v>133</v>
      </c>
    </row>
    <row r="2" spans="1:7" x14ac:dyDescent="0.35">
      <c r="A2" t="s">
        <v>12</v>
      </c>
      <c r="B2" t="s">
        <v>15</v>
      </c>
      <c r="C2" t="s">
        <v>18</v>
      </c>
      <c r="D2" t="s">
        <v>21</v>
      </c>
      <c r="E2" t="s">
        <v>56</v>
      </c>
      <c r="F2" t="s">
        <v>15</v>
      </c>
      <c r="G2" t="s">
        <v>134</v>
      </c>
    </row>
    <row r="3" spans="1:7" x14ac:dyDescent="0.35">
      <c r="A3" t="s">
        <v>13</v>
      </c>
      <c r="B3" t="s">
        <v>16</v>
      </c>
      <c r="C3" t="s">
        <v>19</v>
      </c>
      <c r="D3" t="s">
        <v>22</v>
      </c>
      <c r="E3" t="s">
        <v>22</v>
      </c>
      <c r="F3" t="s">
        <v>16</v>
      </c>
      <c r="G3" t="s">
        <v>135</v>
      </c>
    </row>
    <row r="4" spans="1:7" x14ac:dyDescent="0.35">
      <c r="C4" t="s">
        <v>20</v>
      </c>
      <c r="F4" t="s">
        <v>71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"/>
  <sheetViews>
    <sheetView zoomScale="130" zoomScaleNormal="130" workbookViewId="0">
      <selection activeCell="B2" sqref="B2"/>
    </sheetView>
  </sheetViews>
  <sheetFormatPr defaultColWidth="7.453125" defaultRowHeight="14.5" x14ac:dyDescent="0.35"/>
  <cols>
    <col min="1" max="1" width="9.26953125" bestFit="1" customWidth="1"/>
    <col min="2" max="2" width="8.7265625" bestFit="1" customWidth="1"/>
    <col min="3" max="3" width="10.1796875" bestFit="1" customWidth="1"/>
    <col min="4" max="4" width="5.1796875" bestFit="1" customWidth="1"/>
    <col min="5" max="5" width="2.1796875" bestFit="1" customWidth="1"/>
    <col min="6" max="6" width="14.26953125" bestFit="1" customWidth="1"/>
    <col min="7" max="7" width="10.453125" bestFit="1" customWidth="1"/>
    <col min="8" max="8" width="8.7265625" bestFit="1" customWidth="1"/>
    <col min="9" max="9" width="17.26953125" bestFit="1" customWidth="1"/>
    <col min="10" max="10" width="16.453125" bestFit="1" customWidth="1"/>
    <col min="11" max="11" width="8" bestFit="1" customWidth="1"/>
    <col min="12" max="12" width="15" bestFit="1" customWidth="1"/>
  </cols>
  <sheetData>
    <row r="1" spans="1:11" x14ac:dyDescent="0.35">
      <c r="A1" t="s">
        <v>89</v>
      </c>
      <c r="B1">
        <v>1550000</v>
      </c>
      <c r="D1" t="s">
        <v>61</v>
      </c>
      <c r="E1">
        <f>'Initial position'!A3</f>
        <v>80000</v>
      </c>
      <c r="G1" t="s">
        <v>110</v>
      </c>
      <c r="J1" t="s">
        <v>112</v>
      </c>
      <c r="K1">
        <v>0</v>
      </c>
    </row>
    <row r="2" spans="1:11" x14ac:dyDescent="0.35">
      <c r="A2" t="s">
        <v>90</v>
      </c>
      <c r="B2">
        <f>1.18*(LawyerPrecent/100)*B1</f>
        <v>9145</v>
      </c>
      <c r="G2" t="s">
        <v>92</v>
      </c>
      <c r="H2">
        <v>60</v>
      </c>
      <c r="J2" t="s">
        <v>113</v>
      </c>
      <c r="K2">
        <v>0.5</v>
      </c>
    </row>
    <row r="3" spans="1:11" x14ac:dyDescent="0.35">
      <c r="A3" t="s">
        <v>91</v>
      </c>
      <c r="B3">
        <f>1.18*(NadlanPrecent/100)*B1</f>
        <v>0</v>
      </c>
      <c r="G3" t="s">
        <v>1</v>
      </c>
      <c r="H3">
        <f>B1*H2/100</f>
        <v>930000</v>
      </c>
      <c r="J3" t="s">
        <v>122</v>
      </c>
      <c r="K3">
        <v>0</v>
      </c>
    </row>
    <row r="4" spans="1:11" x14ac:dyDescent="0.35">
      <c r="G4" t="s">
        <v>93</v>
      </c>
      <c r="H4">
        <f>H3/3</f>
        <v>310000</v>
      </c>
    </row>
    <row r="5" spans="1:11" x14ac:dyDescent="0.35">
      <c r="G5" t="s">
        <v>108</v>
      </c>
      <c r="H5">
        <f>H3-H4</f>
        <v>620000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U10"/>
  <sheetViews>
    <sheetView zoomScale="90" zoomScaleNormal="9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16" sqref="E16"/>
    </sheetView>
  </sheetViews>
  <sheetFormatPr defaultColWidth="9.1796875" defaultRowHeight="14.5" x14ac:dyDescent="0.35"/>
  <cols>
    <col min="1" max="1" width="9.1796875" style="9"/>
    <col min="2" max="2" width="15.1796875" style="9" bestFit="1" customWidth="1"/>
    <col min="3" max="5" width="15.1796875" style="9" customWidth="1"/>
    <col min="6" max="11" width="9.1796875" style="9" customWidth="1"/>
    <col min="12" max="14" width="9.1796875" style="9"/>
    <col min="15" max="22" width="9.1796875" style="9" customWidth="1"/>
    <col min="23" max="26" width="9.1796875" style="9"/>
    <col min="27" max="33" width="9.1796875" style="9" customWidth="1"/>
    <col min="34" max="37" width="9.1796875" style="9"/>
    <col min="38" max="44" width="9.1796875" style="9" customWidth="1"/>
    <col min="45" max="16384" width="9.1796875" style="9"/>
  </cols>
  <sheetData>
    <row r="1" spans="1:47" ht="15.5" thickTop="1" thickBot="1" x14ac:dyDescent="0.4">
      <c r="A1" s="26"/>
      <c r="B1" s="26"/>
      <c r="C1" s="42" t="s">
        <v>127</v>
      </c>
      <c r="D1" s="43"/>
      <c r="E1" s="20">
        <v>13</v>
      </c>
      <c r="F1" s="21"/>
      <c r="G1" s="21"/>
      <c r="H1" s="21"/>
      <c r="I1" s="21"/>
      <c r="J1" s="21"/>
      <c r="K1" s="21"/>
      <c r="L1" s="21"/>
      <c r="M1" s="21"/>
      <c r="N1" s="22"/>
      <c r="P1" s="20">
        <v>15</v>
      </c>
      <c r="Q1" s="21"/>
      <c r="R1" s="21"/>
      <c r="S1" s="21"/>
      <c r="T1" s="21"/>
      <c r="U1" s="21"/>
      <c r="V1" s="21"/>
      <c r="W1" s="21"/>
      <c r="X1" s="21"/>
      <c r="Y1" s="22"/>
      <c r="AA1" s="20">
        <v>17</v>
      </c>
      <c r="AB1" s="21"/>
      <c r="AC1" s="21"/>
      <c r="AD1" s="21"/>
      <c r="AE1" s="21"/>
      <c r="AF1" s="21"/>
      <c r="AG1" s="21"/>
      <c r="AH1" s="21"/>
      <c r="AI1" s="21"/>
      <c r="AJ1" s="22"/>
      <c r="AL1" s="20">
        <v>19</v>
      </c>
      <c r="AM1" s="21"/>
      <c r="AN1" s="21"/>
      <c r="AO1" s="21"/>
      <c r="AP1" s="21"/>
      <c r="AQ1" s="21"/>
      <c r="AR1" s="21"/>
      <c r="AS1" s="21"/>
      <c r="AT1" s="21"/>
      <c r="AU1" s="22"/>
    </row>
    <row r="2" spans="1:47" ht="15.5" thickTop="1" thickBot="1" x14ac:dyDescent="0.4">
      <c r="A2" s="26"/>
      <c r="B2" s="26"/>
      <c r="C2" s="44"/>
      <c r="D2" s="45"/>
      <c r="E2" s="20" t="s">
        <v>126</v>
      </c>
      <c r="F2" s="21"/>
      <c r="G2" s="21"/>
      <c r="H2" s="21"/>
      <c r="I2" s="21"/>
      <c r="J2" s="21"/>
      <c r="K2" s="21"/>
      <c r="L2" s="22"/>
      <c r="M2" s="42" t="s">
        <v>48</v>
      </c>
      <c r="N2" s="43"/>
      <c r="P2" s="20" t="s">
        <v>126</v>
      </c>
      <c r="Q2" s="21"/>
      <c r="R2" s="21"/>
      <c r="S2" s="21"/>
      <c r="T2" s="21"/>
      <c r="U2" s="21"/>
      <c r="V2" s="21"/>
      <c r="W2" s="22"/>
      <c r="X2" s="42" t="s">
        <v>48</v>
      </c>
      <c r="Y2" s="43"/>
      <c r="AA2" s="20" t="s">
        <v>126</v>
      </c>
      <c r="AB2" s="21"/>
      <c r="AC2" s="21"/>
      <c r="AD2" s="21"/>
      <c r="AE2" s="21"/>
      <c r="AF2" s="21"/>
      <c r="AG2" s="21"/>
      <c r="AH2" s="22"/>
      <c r="AI2" s="42" t="s">
        <v>48</v>
      </c>
      <c r="AJ2" s="43"/>
      <c r="AL2" s="20" t="s">
        <v>126</v>
      </c>
      <c r="AM2" s="21"/>
      <c r="AN2" s="21"/>
      <c r="AO2" s="21"/>
      <c r="AP2" s="21"/>
      <c r="AQ2" s="21"/>
      <c r="AR2" s="21"/>
      <c r="AS2" s="22"/>
      <c r="AT2" s="42" t="s">
        <v>48</v>
      </c>
      <c r="AU2" s="43"/>
    </row>
    <row r="3" spans="1:47" ht="15.5" thickTop="1" thickBot="1" x14ac:dyDescent="0.4">
      <c r="A3" s="26"/>
      <c r="B3" s="26"/>
      <c r="C3" s="29"/>
      <c r="D3" s="46"/>
      <c r="E3" s="20" t="s">
        <v>130</v>
      </c>
      <c r="F3" s="21"/>
      <c r="G3" s="22"/>
      <c r="H3" s="20" t="s">
        <v>108</v>
      </c>
      <c r="I3" s="21"/>
      <c r="J3" s="22"/>
      <c r="K3" s="20" t="s">
        <v>124</v>
      </c>
      <c r="L3" s="22"/>
      <c r="M3" s="44"/>
      <c r="N3" s="45"/>
      <c r="P3" s="20" t="s">
        <v>130</v>
      </c>
      <c r="Q3" s="21"/>
      <c r="R3" s="22"/>
      <c r="S3" s="20" t="s">
        <v>108</v>
      </c>
      <c r="T3" s="21"/>
      <c r="U3" s="22"/>
      <c r="V3" s="20" t="s">
        <v>124</v>
      </c>
      <c r="W3" s="22"/>
      <c r="X3" s="44"/>
      <c r="Y3" s="45"/>
      <c r="AA3" s="20" t="s">
        <v>130</v>
      </c>
      <c r="AB3" s="21"/>
      <c r="AC3" s="22"/>
      <c r="AD3" s="20" t="s">
        <v>108</v>
      </c>
      <c r="AE3" s="21"/>
      <c r="AF3" s="22"/>
      <c r="AG3" s="20" t="s">
        <v>124</v>
      </c>
      <c r="AH3" s="22"/>
      <c r="AI3" s="44"/>
      <c r="AJ3" s="45"/>
      <c r="AL3" s="20" t="s">
        <v>130</v>
      </c>
      <c r="AM3" s="21"/>
      <c r="AN3" s="22"/>
      <c r="AO3" s="20" t="s">
        <v>108</v>
      </c>
      <c r="AP3" s="21"/>
      <c r="AQ3" s="22"/>
      <c r="AR3" s="20" t="s">
        <v>124</v>
      </c>
      <c r="AS3" s="22"/>
      <c r="AT3" s="44"/>
      <c r="AU3" s="45"/>
    </row>
    <row r="4" spans="1:47" ht="15.5" thickTop="1" thickBot="1" x14ac:dyDescent="0.4">
      <c r="A4" s="13" t="s">
        <v>92</v>
      </c>
      <c r="B4" s="13" t="s">
        <v>123</v>
      </c>
      <c r="C4" s="13" t="s">
        <v>128</v>
      </c>
      <c r="D4" s="13" t="s">
        <v>129</v>
      </c>
      <c r="E4" s="13" t="s">
        <v>48</v>
      </c>
      <c r="F4" s="13" t="s">
        <v>125</v>
      </c>
      <c r="G4" s="13" t="s">
        <v>124</v>
      </c>
      <c r="H4" s="13" t="s">
        <v>48</v>
      </c>
      <c r="I4" s="13" t="s">
        <v>125</v>
      </c>
      <c r="J4" s="13" t="s">
        <v>124</v>
      </c>
      <c r="K4" s="13" t="s">
        <v>131</v>
      </c>
      <c r="L4" s="13" t="s">
        <v>126</v>
      </c>
      <c r="M4" s="13" t="s">
        <v>132</v>
      </c>
      <c r="N4" s="13" t="s">
        <v>124</v>
      </c>
      <c r="P4" s="13" t="s">
        <v>48</v>
      </c>
      <c r="Q4" s="13" t="s">
        <v>125</v>
      </c>
      <c r="R4" s="13" t="s">
        <v>124</v>
      </c>
      <c r="S4" s="13" t="s">
        <v>48</v>
      </c>
      <c r="T4" s="13" t="s">
        <v>125</v>
      </c>
      <c r="U4" s="13" t="s">
        <v>124</v>
      </c>
      <c r="V4" s="13" t="s">
        <v>131</v>
      </c>
      <c r="W4" s="13" t="s">
        <v>126</v>
      </c>
      <c r="X4" s="13" t="s">
        <v>132</v>
      </c>
      <c r="Y4" s="13" t="s">
        <v>124</v>
      </c>
      <c r="AA4" s="13" t="s">
        <v>48</v>
      </c>
      <c r="AB4" s="13" t="s">
        <v>125</v>
      </c>
      <c r="AC4" s="13" t="s">
        <v>124</v>
      </c>
      <c r="AD4" s="13" t="s">
        <v>48</v>
      </c>
      <c r="AE4" s="13" t="s">
        <v>125</v>
      </c>
      <c r="AF4" s="13" t="s">
        <v>124</v>
      </c>
      <c r="AG4" s="13" t="s">
        <v>131</v>
      </c>
      <c r="AH4" s="13" t="s">
        <v>126</v>
      </c>
      <c r="AI4" s="13" t="s">
        <v>132</v>
      </c>
      <c r="AJ4" s="13" t="s">
        <v>124</v>
      </c>
      <c r="AL4" s="13" t="s">
        <v>48</v>
      </c>
      <c r="AM4" s="13" t="s">
        <v>125</v>
      </c>
      <c r="AN4" s="13" t="s">
        <v>124</v>
      </c>
      <c r="AO4" s="13" t="s">
        <v>48</v>
      </c>
      <c r="AP4" s="13" t="s">
        <v>125</v>
      </c>
      <c r="AQ4" s="13" t="s">
        <v>124</v>
      </c>
      <c r="AR4" s="13" t="s">
        <v>131</v>
      </c>
      <c r="AS4" s="13" t="s">
        <v>126</v>
      </c>
      <c r="AT4" s="13" t="s">
        <v>132</v>
      </c>
      <c r="AU4" s="13" t="s">
        <v>124</v>
      </c>
    </row>
    <row r="5" spans="1:47" ht="15" thickTop="1" x14ac:dyDescent="0.35">
      <c r="A5" s="9">
        <v>55</v>
      </c>
      <c r="B5" s="9">
        <f>A5*Personal!$B$1/100</f>
        <v>852500</v>
      </c>
      <c r="C5" s="9">
        <f>B5/3</f>
        <v>284166.66666666669</v>
      </c>
      <c r="D5" s="9">
        <f>B5-C5</f>
        <v>568333.33333333326</v>
      </c>
      <c r="E5" s="9">
        <v>0.7</v>
      </c>
      <c r="F5" s="9">
        <v>946</v>
      </c>
      <c r="G5" s="9">
        <f>F5*25*12</f>
        <v>283800</v>
      </c>
      <c r="H5" s="9">
        <v>3.25</v>
      </c>
      <c r="I5" s="9">
        <v>4109</v>
      </c>
      <c r="J5" s="9">
        <f>I5*$E$1*12</f>
        <v>641004</v>
      </c>
      <c r="K5" s="9">
        <f>J5+G5</f>
        <v>924804</v>
      </c>
      <c r="L5" s="16">
        <f>I5+F5</f>
        <v>5055</v>
      </c>
      <c r="M5" s="16">
        <f>N5/B5</f>
        <v>8.4814076246334316E-2</v>
      </c>
      <c r="N5" s="16">
        <f>K5-C5-D5</f>
        <v>72304</v>
      </c>
      <c r="P5" s="9">
        <v>0.7</v>
      </c>
      <c r="Q5" s="9">
        <v>946</v>
      </c>
      <c r="R5" s="9">
        <f>Q5*25*12</f>
        <v>283800</v>
      </c>
      <c r="S5" s="9">
        <v>3.25</v>
      </c>
      <c r="T5" s="9">
        <v>3673</v>
      </c>
      <c r="U5" s="9">
        <f>T5*15*12</f>
        <v>661140</v>
      </c>
      <c r="V5" s="9">
        <f>U5+R5</f>
        <v>944940</v>
      </c>
      <c r="W5" s="9">
        <f>T5+Q5</f>
        <v>4619</v>
      </c>
      <c r="X5" s="9">
        <f>Y5/$B5</f>
        <v>0.10843401759530792</v>
      </c>
      <c r="Y5" s="9">
        <f>V5-$B5</f>
        <v>92440</v>
      </c>
      <c r="AA5" s="9">
        <v>0.7</v>
      </c>
      <c r="AB5" s="9">
        <v>946</v>
      </c>
      <c r="AC5" s="9">
        <f>AB5*25*12</f>
        <v>283800</v>
      </c>
      <c r="AD5" s="9">
        <v>3.5</v>
      </c>
      <c r="AE5" s="9">
        <v>3407</v>
      </c>
      <c r="AF5" s="9">
        <f>AE5*17*12</f>
        <v>695028</v>
      </c>
      <c r="AG5" s="9">
        <f>AF5+AC5</f>
        <v>978828</v>
      </c>
      <c r="AH5" s="9">
        <f>AE5+AB5</f>
        <v>4353</v>
      </c>
      <c r="AI5" s="9">
        <f>AJ5/B5</f>
        <v>0.14818533724340177</v>
      </c>
      <c r="AJ5" s="9">
        <f>AG5-$B5</f>
        <v>126328</v>
      </c>
      <c r="AL5" s="9">
        <v>0.7</v>
      </c>
      <c r="AM5" s="9">
        <v>946</v>
      </c>
      <c r="AN5" s="9">
        <f>AM5*25*12</f>
        <v>283800</v>
      </c>
      <c r="AO5" s="9">
        <v>3.5</v>
      </c>
      <c r="AP5" s="9">
        <v>3147</v>
      </c>
      <c r="AQ5" s="9">
        <f>AP5*19*12</f>
        <v>717516</v>
      </c>
      <c r="AR5" s="9">
        <f>AQ5+AN5</f>
        <v>1001316</v>
      </c>
      <c r="AS5" s="9">
        <f>AP5+AM5</f>
        <v>4093</v>
      </c>
      <c r="AT5" s="9">
        <f>AU5/$B5</f>
        <v>0.1745642228739003</v>
      </c>
      <c r="AU5" s="9">
        <f>AR5-$B5</f>
        <v>148816</v>
      </c>
    </row>
    <row r="6" spans="1:47" x14ac:dyDescent="0.35">
      <c r="A6" s="15">
        <f>60</f>
        <v>60</v>
      </c>
      <c r="B6" s="9">
        <f>A6*Personal!$B$1/100</f>
        <v>930000</v>
      </c>
      <c r="C6" s="9">
        <f t="shared" ref="C6:C9" si="0">B6/3</f>
        <v>310000</v>
      </c>
      <c r="D6" s="9">
        <f t="shared" ref="D6:D9" si="1">B6-C6</f>
        <v>620000</v>
      </c>
      <c r="E6" s="9">
        <v>0.7</v>
      </c>
      <c r="F6" s="9">
        <v>1032</v>
      </c>
      <c r="G6" s="9">
        <f t="shared" ref="G6:G9" si="2">F6*25*12</f>
        <v>309600</v>
      </c>
      <c r="H6" s="9">
        <v>3.25</v>
      </c>
      <c r="I6" s="9">
        <v>4482</v>
      </c>
      <c r="J6" s="9">
        <f t="shared" ref="J6:J9" si="3">I6*$E$1*12</f>
        <v>699192</v>
      </c>
      <c r="K6" s="9">
        <f t="shared" ref="K6:K9" si="4">J6+G6</f>
        <v>1008792</v>
      </c>
      <c r="L6" s="16">
        <f t="shared" ref="L6:L9" si="5">I6+F6</f>
        <v>5514</v>
      </c>
      <c r="M6" s="16">
        <f t="shared" ref="M6:M9" si="6">N6/B6</f>
        <v>8.4722580645161291E-2</v>
      </c>
      <c r="N6" s="16">
        <f t="shared" ref="N6:N9" si="7">K6-C6-D6</f>
        <v>78792</v>
      </c>
      <c r="P6" s="9">
        <v>0.7</v>
      </c>
      <c r="Q6" s="9">
        <v>1032</v>
      </c>
      <c r="R6" s="9">
        <f t="shared" ref="R6:R9" si="8">Q6*25*12</f>
        <v>309600</v>
      </c>
      <c r="S6" s="9">
        <v>3.25</v>
      </c>
      <c r="T6" s="9">
        <v>4005</v>
      </c>
      <c r="U6" s="9">
        <f t="shared" ref="U6:U9" si="9">T6*15*12</f>
        <v>720900</v>
      </c>
      <c r="V6" s="9">
        <f t="shared" ref="V6:V9" si="10">U6+R6</f>
        <v>1030500</v>
      </c>
      <c r="W6" s="17">
        <f t="shared" ref="W6:W9" si="11">T6+Q6</f>
        <v>5037</v>
      </c>
      <c r="X6" s="17">
        <f t="shared" ref="X6:X9" si="12">Y6/$B6</f>
        <v>0.10806451612903226</v>
      </c>
      <c r="Y6" s="17">
        <f t="shared" ref="Y6:Y9" si="13">V6-$B6</f>
        <v>100500</v>
      </c>
      <c r="AA6" s="9">
        <v>0.7</v>
      </c>
      <c r="AB6" s="9">
        <v>1032</v>
      </c>
      <c r="AC6" s="9">
        <f t="shared" ref="AC6:AC9" si="14">AB6*25*12</f>
        <v>309600</v>
      </c>
      <c r="AD6" s="9">
        <v>3.5</v>
      </c>
      <c r="AE6" s="9">
        <v>3714</v>
      </c>
      <c r="AF6" s="9">
        <f t="shared" ref="AF6:AF9" si="15">AE6*17*12</f>
        <v>757656</v>
      </c>
      <c r="AG6" s="9">
        <f t="shared" ref="AG6:AG9" si="16">AF6+AC6</f>
        <v>1067256</v>
      </c>
      <c r="AH6" s="16">
        <f t="shared" ref="AH6:AH9" si="17">AE6+AB6</f>
        <v>4746</v>
      </c>
      <c r="AI6" s="16">
        <f t="shared" ref="AI6:AI9" si="18">AJ6/B6</f>
        <v>0.14758709677419354</v>
      </c>
      <c r="AJ6" s="16">
        <f t="shared" ref="AJ6:AJ9" si="19">AG6-$B6</f>
        <v>137256</v>
      </c>
      <c r="AL6" s="9">
        <v>0.7</v>
      </c>
      <c r="AM6" s="9">
        <v>1032</v>
      </c>
      <c r="AN6" s="9">
        <f t="shared" ref="AN6:AN9" si="20">AM6*25*12</f>
        <v>309600</v>
      </c>
      <c r="AO6" s="9">
        <v>3.5</v>
      </c>
      <c r="AP6" s="9">
        <v>3431</v>
      </c>
      <c r="AQ6" s="9">
        <f t="shared" ref="AQ6:AQ9" si="21">AP6*19*12</f>
        <v>782268</v>
      </c>
      <c r="AR6" s="9">
        <f t="shared" ref="AR6:AR9" si="22">AQ6+AN6</f>
        <v>1091868</v>
      </c>
      <c r="AS6" s="9">
        <f t="shared" ref="AS6:AS9" si="23">AP6+AM6</f>
        <v>4463</v>
      </c>
      <c r="AT6" s="9">
        <f t="shared" ref="AT6:AT9" si="24">AU6/$B6</f>
        <v>0.17405161290322579</v>
      </c>
      <c r="AU6" s="9">
        <f t="shared" ref="AU6:AU9" si="25">AR6-$B6</f>
        <v>161868</v>
      </c>
    </row>
    <row r="7" spans="1:47" x14ac:dyDescent="0.35">
      <c r="A7" s="9">
        <v>65</v>
      </c>
      <c r="B7" s="9">
        <f>A7*Personal!$B$1/100</f>
        <v>1007500</v>
      </c>
      <c r="C7" s="9">
        <f t="shared" si="0"/>
        <v>335833.33333333331</v>
      </c>
      <c r="D7" s="9">
        <f t="shared" si="1"/>
        <v>671666.66666666674</v>
      </c>
      <c r="E7" s="9">
        <v>0.7</v>
      </c>
      <c r="F7" s="9">
        <v>1120</v>
      </c>
      <c r="G7" s="9">
        <f t="shared" si="2"/>
        <v>336000</v>
      </c>
      <c r="H7" s="9">
        <v>3.25</v>
      </c>
      <c r="I7" s="9">
        <v>4853</v>
      </c>
      <c r="J7" s="9">
        <f t="shared" si="3"/>
        <v>757068</v>
      </c>
      <c r="K7" s="9">
        <f t="shared" si="4"/>
        <v>1093068</v>
      </c>
      <c r="L7" s="16">
        <f t="shared" si="5"/>
        <v>5973</v>
      </c>
      <c r="M7" s="16">
        <f t="shared" si="6"/>
        <v>8.4931017369727052E-2</v>
      </c>
      <c r="N7" s="16">
        <f t="shared" si="7"/>
        <v>85568</v>
      </c>
      <c r="P7" s="9">
        <v>0.7</v>
      </c>
      <c r="Q7" s="9">
        <v>1120</v>
      </c>
      <c r="R7" s="9">
        <f t="shared" si="8"/>
        <v>336000</v>
      </c>
      <c r="S7" s="9">
        <v>3.25</v>
      </c>
      <c r="T7" s="9">
        <v>4343</v>
      </c>
      <c r="U7" s="9">
        <f t="shared" si="9"/>
        <v>781740</v>
      </c>
      <c r="V7" s="9">
        <f t="shared" si="10"/>
        <v>1117740</v>
      </c>
      <c r="W7" s="16">
        <f t="shared" si="11"/>
        <v>5463</v>
      </c>
      <c r="X7" s="16">
        <f t="shared" si="12"/>
        <v>0.10941935483870968</v>
      </c>
      <c r="Y7" s="16">
        <f t="shared" si="13"/>
        <v>110240</v>
      </c>
      <c r="AA7" s="9">
        <v>0.7</v>
      </c>
      <c r="AB7" s="9">
        <v>1120</v>
      </c>
      <c r="AC7" s="9">
        <f t="shared" si="14"/>
        <v>336000</v>
      </c>
      <c r="AD7" s="9">
        <v>3.5</v>
      </c>
      <c r="AE7" s="9">
        <v>4028</v>
      </c>
      <c r="AF7" s="9">
        <f t="shared" si="15"/>
        <v>821712</v>
      </c>
      <c r="AG7" s="9">
        <f t="shared" si="16"/>
        <v>1157712</v>
      </c>
      <c r="AH7" s="16">
        <f t="shared" si="17"/>
        <v>5148</v>
      </c>
      <c r="AI7" s="16">
        <f t="shared" si="18"/>
        <v>0.14909379652605459</v>
      </c>
      <c r="AJ7" s="16">
        <f t="shared" si="19"/>
        <v>150212</v>
      </c>
      <c r="AL7" s="9">
        <v>0.7</v>
      </c>
      <c r="AM7" s="9">
        <v>1120</v>
      </c>
      <c r="AN7" s="9">
        <f t="shared" si="20"/>
        <v>336000</v>
      </c>
      <c r="AO7" s="9">
        <v>3.5</v>
      </c>
      <c r="AP7" s="9">
        <v>3721</v>
      </c>
      <c r="AQ7" s="9">
        <f t="shared" si="21"/>
        <v>848388</v>
      </c>
      <c r="AR7" s="9">
        <f t="shared" si="22"/>
        <v>1184388</v>
      </c>
      <c r="AS7" s="16">
        <f t="shared" si="23"/>
        <v>4841</v>
      </c>
      <c r="AT7" s="16">
        <f t="shared" si="24"/>
        <v>0.17557121588089331</v>
      </c>
      <c r="AU7" s="16">
        <f t="shared" si="25"/>
        <v>176888</v>
      </c>
    </row>
    <row r="8" spans="1:47" x14ac:dyDescent="0.35">
      <c r="A8" s="15">
        <v>70</v>
      </c>
      <c r="B8" s="9">
        <f>A8*Personal!$B$1/100</f>
        <v>1085000</v>
      </c>
      <c r="C8" s="9">
        <f t="shared" si="0"/>
        <v>361666.66666666669</v>
      </c>
      <c r="D8" s="9">
        <f t="shared" si="1"/>
        <v>723333.33333333326</v>
      </c>
      <c r="E8" s="9">
        <v>0.7</v>
      </c>
      <c r="F8" s="9">
        <v>1207</v>
      </c>
      <c r="G8" s="9">
        <f t="shared" si="2"/>
        <v>362100</v>
      </c>
      <c r="H8" s="9">
        <v>3.25</v>
      </c>
      <c r="I8" s="9">
        <v>5232</v>
      </c>
      <c r="J8" s="9">
        <f t="shared" si="3"/>
        <v>816192</v>
      </c>
      <c r="K8" s="9">
        <f t="shared" si="4"/>
        <v>1178292</v>
      </c>
      <c r="L8">
        <f t="shared" si="5"/>
        <v>6439</v>
      </c>
      <c r="M8">
        <f t="shared" si="6"/>
        <v>8.5983410138248853E-2</v>
      </c>
      <c r="N8">
        <f t="shared" si="7"/>
        <v>93292</v>
      </c>
      <c r="P8" s="9">
        <v>0.7</v>
      </c>
      <c r="Q8" s="9">
        <v>1207</v>
      </c>
      <c r="R8" s="9">
        <f t="shared" si="8"/>
        <v>362100</v>
      </c>
      <c r="S8" s="9">
        <v>3.25</v>
      </c>
      <c r="T8" s="9">
        <v>4674</v>
      </c>
      <c r="U8" s="9">
        <f t="shared" si="9"/>
        <v>841320</v>
      </c>
      <c r="V8" s="9">
        <f t="shared" si="10"/>
        <v>1203420</v>
      </c>
      <c r="W8" s="16">
        <f t="shared" si="11"/>
        <v>5881</v>
      </c>
      <c r="X8" s="16">
        <f t="shared" si="12"/>
        <v>0.10914285714285714</v>
      </c>
      <c r="Y8" s="16">
        <f t="shared" si="13"/>
        <v>118420</v>
      </c>
      <c r="AA8" s="9">
        <v>0.7</v>
      </c>
      <c r="AB8" s="9">
        <v>1207</v>
      </c>
      <c r="AC8" s="9">
        <f t="shared" si="14"/>
        <v>362100</v>
      </c>
      <c r="AD8" s="9">
        <v>3.5</v>
      </c>
      <c r="AE8" s="9">
        <v>4336</v>
      </c>
      <c r="AF8" s="9">
        <f t="shared" si="15"/>
        <v>884544</v>
      </c>
      <c r="AG8" s="9">
        <f t="shared" si="16"/>
        <v>1246644</v>
      </c>
      <c r="AH8" s="16">
        <f t="shared" si="17"/>
        <v>5543</v>
      </c>
      <c r="AI8" s="16">
        <f t="shared" si="18"/>
        <v>0.14898064516129031</v>
      </c>
      <c r="AJ8" s="16">
        <f t="shared" si="19"/>
        <v>161644</v>
      </c>
      <c r="AL8" s="9">
        <v>0.7</v>
      </c>
      <c r="AM8" s="9">
        <v>1207</v>
      </c>
      <c r="AN8" s="9">
        <f t="shared" si="20"/>
        <v>362100</v>
      </c>
      <c r="AO8" s="9">
        <v>3.5</v>
      </c>
      <c r="AP8" s="9">
        <v>4004</v>
      </c>
      <c r="AQ8" s="9">
        <f t="shared" si="21"/>
        <v>912912</v>
      </c>
      <c r="AR8" s="9">
        <f t="shared" si="22"/>
        <v>1275012</v>
      </c>
      <c r="AS8" s="16">
        <f t="shared" si="23"/>
        <v>5211</v>
      </c>
      <c r="AT8" s="16">
        <f t="shared" si="24"/>
        <v>0.175126267281106</v>
      </c>
      <c r="AU8" s="16">
        <f t="shared" si="25"/>
        <v>190012</v>
      </c>
    </row>
    <row r="9" spans="1:47" x14ac:dyDescent="0.35">
      <c r="A9" s="9">
        <v>75</v>
      </c>
      <c r="B9" s="9">
        <f>A9*Personal!$B$1/100</f>
        <v>1162500</v>
      </c>
      <c r="C9" s="9">
        <f t="shared" si="0"/>
        <v>387500</v>
      </c>
      <c r="D9" s="9">
        <f t="shared" si="1"/>
        <v>775000</v>
      </c>
      <c r="E9" s="9">
        <v>0.7</v>
      </c>
      <c r="F9" s="9">
        <v>1291</v>
      </c>
      <c r="G9" s="9">
        <f t="shared" si="2"/>
        <v>387300</v>
      </c>
      <c r="H9" s="9">
        <v>3.25</v>
      </c>
      <c r="I9" s="9">
        <v>5603</v>
      </c>
      <c r="J9" s="9">
        <f t="shared" si="3"/>
        <v>874068</v>
      </c>
      <c r="K9" s="9">
        <f t="shared" si="4"/>
        <v>1261368</v>
      </c>
      <c r="L9" s="9">
        <f t="shared" si="5"/>
        <v>6894</v>
      </c>
      <c r="M9" s="9">
        <f t="shared" si="6"/>
        <v>8.5047741935483867E-2</v>
      </c>
      <c r="N9" s="9">
        <f t="shared" si="7"/>
        <v>98868</v>
      </c>
      <c r="P9" s="9">
        <v>0.7</v>
      </c>
      <c r="Q9" s="9">
        <v>1291</v>
      </c>
      <c r="R9" s="9">
        <f t="shared" si="8"/>
        <v>387300</v>
      </c>
      <c r="S9" s="9">
        <v>3.25</v>
      </c>
      <c r="T9" s="9">
        <v>5006</v>
      </c>
      <c r="U9" s="9">
        <f t="shared" si="9"/>
        <v>901080</v>
      </c>
      <c r="V9" s="9">
        <f t="shared" si="10"/>
        <v>1288380</v>
      </c>
      <c r="W9" s="9">
        <f t="shared" si="11"/>
        <v>6297</v>
      </c>
      <c r="X9" s="9">
        <f t="shared" si="12"/>
        <v>0.10828387096774193</v>
      </c>
      <c r="Y9" s="9">
        <f t="shared" si="13"/>
        <v>125880</v>
      </c>
      <c r="AA9" s="9">
        <v>0.7</v>
      </c>
      <c r="AB9" s="9">
        <v>1291</v>
      </c>
      <c r="AC9" s="9">
        <f t="shared" si="14"/>
        <v>387300</v>
      </c>
      <c r="AD9" s="9">
        <v>3.5</v>
      </c>
      <c r="AE9" s="9">
        <v>4643</v>
      </c>
      <c r="AF9" s="9">
        <f t="shared" si="15"/>
        <v>947172</v>
      </c>
      <c r="AG9" s="9">
        <f t="shared" si="16"/>
        <v>1334472</v>
      </c>
      <c r="AH9" s="16">
        <f t="shared" si="17"/>
        <v>5934</v>
      </c>
      <c r="AI9" s="16">
        <f t="shared" si="18"/>
        <v>0.14793290322580646</v>
      </c>
      <c r="AJ9" s="16">
        <f t="shared" si="19"/>
        <v>171972</v>
      </c>
      <c r="AL9" s="9">
        <v>0.7</v>
      </c>
      <c r="AM9" s="9">
        <v>1291</v>
      </c>
      <c r="AN9" s="9">
        <f t="shared" si="20"/>
        <v>387300</v>
      </c>
      <c r="AO9" s="9">
        <v>3.5</v>
      </c>
      <c r="AP9" s="9">
        <v>4288</v>
      </c>
      <c r="AQ9" s="9">
        <f t="shared" si="21"/>
        <v>977664</v>
      </c>
      <c r="AR9" s="9">
        <f t="shared" si="22"/>
        <v>1364964</v>
      </c>
      <c r="AS9" s="16">
        <f t="shared" si="23"/>
        <v>5579</v>
      </c>
      <c r="AT9" s="16">
        <f t="shared" si="24"/>
        <v>0.1741625806451613</v>
      </c>
      <c r="AU9" s="16">
        <f t="shared" si="25"/>
        <v>202464</v>
      </c>
    </row>
    <row r="10" spans="1:47" x14ac:dyDescent="0.35">
      <c r="A10" s="15"/>
    </row>
  </sheetData>
  <mergeCells count="26">
    <mergeCell ref="A1:B3"/>
    <mergeCell ref="E1:N1"/>
    <mergeCell ref="K3:L3"/>
    <mergeCell ref="C1:D3"/>
    <mergeCell ref="E3:G3"/>
    <mergeCell ref="H3:J3"/>
    <mergeCell ref="E2:L2"/>
    <mergeCell ref="M2:N3"/>
    <mergeCell ref="P1:Y1"/>
    <mergeCell ref="P2:W2"/>
    <mergeCell ref="X2:Y3"/>
    <mergeCell ref="P3:R3"/>
    <mergeCell ref="S3:U3"/>
    <mergeCell ref="V3:W3"/>
    <mergeCell ref="AD3:AF3"/>
    <mergeCell ref="AG3:AH3"/>
    <mergeCell ref="AL1:AU1"/>
    <mergeCell ref="AL2:AS2"/>
    <mergeCell ref="AT2:AU3"/>
    <mergeCell ref="AL3:AN3"/>
    <mergeCell ref="AO3:AQ3"/>
    <mergeCell ref="AR3:AS3"/>
    <mergeCell ref="AA1:AJ1"/>
    <mergeCell ref="AA2:AH2"/>
    <mergeCell ref="AI2:AJ3"/>
    <mergeCell ref="AA3:AC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U10"/>
  <sheetViews>
    <sheetView workbookViewId="0">
      <selection activeCell="B5" sqref="B5"/>
    </sheetView>
  </sheetViews>
  <sheetFormatPr defaultColWidth="9.1796875" defaultRowHeight="14.5" x14ac:dyDescent="0.35"/>
  <cols>
    <col min="1" max="1" width="9.1796875" style="9"/>
    <col min="2" max="2" width="15.1796875" style="9" bestFit="1" customWidth="1"/>
    <col min="3" max="4" width="15.1796875" style="9" customWidth="1"/>
    <col min="5" max="5" width="15.1796875" style="9" hidden="1" customWidth="1"/>
    <col min="6" max="11" width="0" style="9" hidden="1" customWidth="1"/>
    <col min="12" max="14" width="9.1796875" style="9"/>
    <col min="15" max="15" width="9.1796875" style="9" customWidth="1"/>
    <col min="16" max="18" width="9.1796875" style="9" hidden="1" customWidth="1"/>
    <col min="19" max="22" width="0" style="9" hidden="1" customWidth="1"/>
    <col min="23" max="26" width="9.1796875" style="9"/>
    <col min="27" max="33" width="0" style="9" hidden="1" customWidth="1"/>
    <col min="34" max="37" width="9.1796875" style="9"/>
    <col min="38" max="44" width="0" style="9" hidden="1" customWidth="1"/>
    <col min="45" max="16384" width="9.1796875" style="9"/>
  </cols>
  <sheetData>
    <row r="1" spans="1:47" ht="15.5" thickTop="1" thickBot="1" x14ac:dyDescent="0.4">
      <c r="A1" s="26"/>
      <c r="B1" s="26"/>
      <c r="C1" s="42" t="s">
        <v>127</v>
      </c>
      <c r="D1" s="43"/>
      <c r="E1" s="20">
        <v>13</v>
      </c>
      <c r="F1" s="21"/>
      <c r="G1" s="21"/>
      <c r="H1" s="21"/>
      <c r="I1" s="21"/>
      <c r="J1" s="21"/>
      <c r="K1" s="21"/>
      <c r="L1" s="21"/>
      <c r="M1" s="21"/>
      <c r="N1" s="22"/>
      <c r="P1" s="20">
        <v>15</v>
      </c>
      <c r="Q1" s="21"/>
      <c r="R1" s="21"/>
      <c r="S1" s="21"/>
      <c r="T1" s="21"/>
      <c r="U1" s="21"/>
      <c r="V1" s="21"/>
      <c r="W1" s="21"/>
      <c r="X1" s="21"/>
      <c r="Y1" s="22"/>
      <c r="AA1" s="20">
        <v>17</v>
      </c>
      <c r="AB1" s="21"/>
      <c r="AC1" s="21"/>
      <c r="AD1" s="21"/>
      <c r="AE1" s="21"/>
      <c r="AF1" s="21"/>
      <c r="AG1" s="21"/>
      <c r="AH1" s="21"/>
      <c r="AI1" s="21"/>
      <c r="AJ1" s="22"/>
      <c r="AL1" s="20">
        <v>19</v>
      </c>
      <c r="AM1" s="21"/>
      <c r="AN1" s="21"/>
      <c r="AO1" s="21"/>
      <c r="AP1" s="21"/>
      <c r="AQ1" s="21"/>
      <c r="AR1" s="21"/>
      <c r="AS1" s="21"/>
      <c r="AT1" s="21"/>
      <c r="AU1" s="22"/>
    </row>
    <row r="2" spans="1:47" ht="15.5" thickTop="1" thickBot="1" x14ac:dyDescent="0.4">
      <c r="A2" s="26"/>
      <c r="B2" s="26"/>
      <c r="C2" s="44"/>
      <c r="D2" s="45"/>
      <c r="E2" s="20" t="s">
        <v>126</v>
      </c>
      <c r="F2" s="21"/>
      <c r="G2" s="21"/>
      <c r="H2" s="21"/>
      <c r="I2" s="21"/>
      <c r="J2" s="21"/>
      <c r="K2" s="21"/>
      <c r="L2" s="22"/>
      <c r="M2" s="42" t="s">
        <v>48</v>
      </c>
      <c r="N2" s="43"/>
      <c r="P2" s="20" t="s">
        <v>126</v>
      </c>
      <c r="Q2" s="21"/>
      <c r="R2" s="21"/>
      <c r="S2" s="21"/>
      <c r="T2" s="21"/>
      <c r="U2" s="21"/>
      <c r="V2" s="21"/>
      <c r="W2" s="22"/>
      <c r="X2" s="42" t="s">
        <v>48</v>
      </c>
      <c r="Y2" s="43"/>
      <c r="AA2" s="20" t="s">
        <v>126</v>
      </c>
      <c r="AB2" s="21"/>
      <c r="AC2" s="21"/>
      <c r="AD2" s="21"/>
      <c r="AE2" s="21"/>
      <c r="AF2" s="21"/>
      <c r="AG2" s="21"/>
      <c r="AH2" s="22"/>
      <c r="AI2" s="42" t="s">
        <v>48</v>
      </c>
      <c r="AJ2" s="43"/>
      <c r="AL2" s="20" t="s">
        <v>126</v>
      </c>
      <c r="AM2" s="21"/>
      <c r="AN2" s="21"/>
      <c r="AO2" s="21"/>
      <c r="AP2" s="21"/>
      <c r="AQ2" s="21"/>
      <c r="AR2" s="21"/>
      <c r="AS2" s="22"/>
      <c r="AT2" s="42" t="s">
        <v>48</v>
      </c>
      <c r="AU2" s="43"/>
    </row>
    <row r="3" spans="1:47" ht="15.5" thickTop="1" thickBot="1" x14ac:dyDescent="0.4">
      <c r="A3" s="26"/>
      <c r="B3" s="26"/>
      <c r="C3" s="29"/>
      <c r="D3" s="46"/>
      <c r="E3" s="20" t="s">
        <v>130</v>
      </c>
      <c r="F3" s="21"/>
      <c r="G3" s="22"/>
      <c r="H3" s="20" t="s">
        <v>108</v>
      </c>
      <c r="I3" s="21"/>
      <c r="J3" s="22"/>
      <c r="K3" s="20" t="s">
        <v>124</v>
      </c>
      <c r="L3" s="22"/>
      <c r="M3" s="44"/>
      <c r="N3" s="45"/>
      <c r="P3" s="20" t="s">
        <v>130</v>
      </c>
      <c r="Q3" s="21"/>
      <c r="R3" s="22"/>
      <c r="S3" s="20" t="s">
        <v>108</v>
      </c>
      <c r="T3" s="21"/>
      <c r="U3" s="22"/>
      <c r="V3" s="20" t="s">
        <v>124</v>
      </c>
      <c r="W3" s="22"/>
      <c r="X3" s="44"/>
      <c r="Y3" s="45"/>
      <c r="AA3" s="20" t="s">
        <v>130</v>
      </c>
      <c r="AB3" s="21"/>
      <c r="AC3" s="22"/>
      <c r="AD3" s="20" t="s">
        <v>108</v>
      </c>
      <c r="AE3" s="21"/>
      <c r="AF3" s="22"/>
      <c r="AG3" s="20" t="s">
        <v>124</v>
      </c>
      <c r="AH3" s="22"/>
      <c r="AI3" s="44"/>
      <c r="AJ3" s="45"/>
      <c r="AL3" s="20" t="s">
        <v>130</v>
      </c>
      <c r="AM3" s="21"/>
      <c r="AN3" s="22"/>
      <c r="AO3" s="20" t="s">
        <v>108</v>
      </c>
      <c r="AP3" s="21"/>
      <c r="AQ3" s="22"/>
      <c r="AR3" s="20" t="s">
        <v>124</v>
      </c>
      <c r="AS3" s="22"/>
      <c r="AT3" s="44"/>
      <c r="AU3" s="45"/>
    </row>
    <row r="4" spans="1:47" ht="15.5" thickTop="1" thickBot="1" x14ac:dyDescent="0.4">
      <c r="A4" s="14" t="s">
        <v>92</v>
      </c>
      <c r="B4" s="14" t="s">
        <v>123</v>
      </c>
      <c r="C4" s="14" t="s">
        <v>128</v>
      </c>
      <c r="D4" s="14" t="s">
        <v>129</v>
      </c>
      <c r="E4" s="14" t="s">
        <v>48</v>
      </c>
      <c r="F4" s="14" t="s">
        <v>125</v>
      </c>
      <c r="G4" s="14" t="s">
        <v>124</v>
      </c>
      <c r="H4" s="14" t="s">
        <v>48</v>
      </c>
      <c r="I4" s="14" t="s">
        <v>125</v>
      </c>
      <c r="J4" s="14" t="s">
        <v>124</v>
      </c>
      <c r="K4" s="14" t="s">
        <v>131</v>
      </c>
      <c r="L4" s="14" t="s">
        <v>126</v>
      </c>
      <c r="M4" s="14" t="s">
        <v>132</v>
      </c>
      <c r="N4" s="14" t="s">
        <v>124</v>
      </c>
      <c r="P4" s="14" t="s">
        <v>48</v>
      </c>
      <c r="Q4" s="14" t="s">
        <v>125</v>
      </c>
      <c r="R4" s="14" t="s">
        <v>124</v>
      </c>
      <c r="S4" s="14" t="s">
        <v>48</v>
      </c>
      <c r="T4" s="14" t="s">
        <v>125</v>
      </c>
      <c r="U4" s="14" t="s">
        <v>124</v>
      </c>
      <c r="V4" s="14" t="s">
        <v>131</v>
      </c>
      <c r="W4" s="14" t="s">
        <v>126</v>
      </c>
      <c r="X4" s="14" t="s">
        <v>132</v>
      </c>
      <c r="Y4" s="14" t="s">
        <v>124</v>
      </c>
      <c r="AA4" s="14" t="s">
        <v>48</v>
      </c>
      <c r="AB4" s="14" t="s">
        <v>125</v>
      </c>
      <c r="AC4" s="14" t="s">
        <v>124</v>
      </c>
      <c r="AD4" s="14" t="s">
        <v>48</v>
      </c>
      <c r="AE4" s="14" t="s">
        <v>125</v>
      </c>
      <c r="AF4" s="14" t="s">
        <v>124</v>
      </c>
      <c r="AG4" s="14" t="s">
        <v>131</v>
      </c>
      <c r="AH4" s="14" t="s">
        <v>126</v>
      </c>
      <c r="AI4" s="14" t="s">
        <v>132</v>
      </c>
      <c r="AJ4" s="14" t="s">
        <v>124</v>
      </c>
      <c r="AL4" s="14" t="s">
        <v>48</v>
      </c>
      <c r="AM4" s="14" t="s">
        <v>125</v>
      </c>
      <c r="AN4" s="14" t="s">
        <v>124</v>
      </c>
      <c r="AO4" s="14" t="s">
        <v>48</v>
      </c>
      <c r="AP4" s="14" t="s">
        <v>125</v>
      </c>
      <c r="AQ4" s="14" t="s">
        <v>124</v>
      </c>
      <c r="AR4" s="14" t="s">
        <v>131</v>
      </c>
      <c r="AS4" s="14" t="s">
        <v>126</v>
      </c>
      <c r="AT4" s="14" t="s">
        <v>132</v>
      </c>
      <c r="AU4" s="14" t="s">
        <v>124</v>
      </c>
    </row>
    <row r="5" spans="1:47" ht="15" thickTop="1" x14ac:dyDescent="0.35">
      <c r="A5" s="9">
        <v>55</v>
      </c>
      <c r="B5" s="9">
        <f>A5*Personal!$B$1/100</f>
        <v>852500</v>
      </c>
      <c r="C5" s="9">
        <f>B5/3</f>
        <v>284166.66666666669</v>
      </c>
      <c r="D5" s="9">
        <f>B5-C5</f>
        <v>568333.33333333326</v>
      </c>
      <c r="E5" s="9">
        <v>0.7</v>
      </c>
      <c r="F5" s="9">
        <v>946</v>
      </c>
      <c r="G5" s="9">
        <f>F5*25*12</f>
        <v>283800</v>
      </c>
      <c r="H5" s="9">
        <v>3.25</v>
      </c>
      <c r="I5" s="9">
        <v>4109</v>
      </c>
      <c r="J5" s="9">
        <f>I5*$E$1*12</f>
        <v>641004</v>
      </c>
      <c r="K5" s="9">
        <f>J5+G5</f>
        <v>924804</v>
      </c>
      <c r="L5" s="16">
        <f>I5+F5</f>
        <v>5055</v>
      </c>
      <c r="M5" s="16">
        <f>N5/B5</f>
        <v>8.4814076246334316E-2</v>
      </c>
      <c r="N5" s="16">
        <f>K5-C5-D5</f>
        <v>72304</v>
      </c>
      <c r="P5" s="9">
        <v>0.7</v>
      </c>
      <c r="Q5" s="9">
        <v>946</v>
      </c>
      <c r="R5" s="9">
        <f>Q5*25*12</f>
        <v>283800</v>
      </c>
      <c r="S5" s="9">
        <v>3.25</v>
      </c>
      <c r="T5" s="9">
        <v>3673</v>
      </c>
      <c r="U5" s="9">
        <f>T5*15*12</f>
        <v>661140</v>
      </c>
      <c r="V5" s="9">
        <f>U5+R5</f>
        <v>944940</v>
      </c>
      <c r="W5" s="9">
        <f>T5+Q5</f>
        <v>4619</v>
      </c>
      <c r="X5" s="9">
        <f>Y5/$B5</f>
        <v>0.10843401759530792</v>
      </c>
      <c r="Y5" s="9">
        <f>V5-$B5</f>
        <v>92440</v>
      </c>
      <c r="AA5" s="9">
        <v>0.7</v>
      </c>
      <c r="AB5" s="9">
        <v>946</v>
      </c>
      <c r="AC5" s="9">
        <f>AB5*25*12</f>
        <v>283800</v>
      </c>
      <c r="AD5" s="9">
        <v>3.5</v>
      </c>
      <c r="AE5" s="9">
        <v>3407</v>
      </c>
      <c r="AF5" s="9">
        <f>AE5*17*12</f>
        <v>695028</v>
      </c>
      <c r="AG5" s="9">
        <f>AF5+AC5</f>
        <v>978828</v>
      </c>
      <c r="AH5" s="9">
        <f>AE5+AB5</f>
        <v>4353</v>
      </c>
      <c r="AI5" s="9">
        <f>AJ5/B5</f>
        <v>0.14818533724340177</v>
      </c>
      <c r="AJ5" s="9">
        <f>AG5-$B5</f>
        <v>126328</v>
      </c>
      <c r="AL5" s="9">
        <v>0.7</v>
      </c>
      <c r="AM5" s="9">
        <v>946</v>
      </c>
      <c r="AN5" s="9">
        <f>AM5*25*12</f>
        <v>283800</v>
      </c>
      <c r="AO5" s="9">
        <v>3.5</v>
      </c>
      <c r="AP5" s="9">
        <v>3147</v>
      </c>
      <c r="AQ5" s="9">
        <f>AP5*19*12</f>
        <v>717516</v>
      </c>
      <c r="AR5" s="9">
        <f>AQ5+AN5</f>
        <v>1001316</v>
      </c>
      <c r="AS5" s="9">
        <f>AP5+AM5</f>
        <v>4093</v>
      </c>
      <c r="AT5" s="9">
        <f>AU5/$B5</f>
        <v>0.1745642228739003</v>
      </c>
      <c r="AU5" s="9">
        <f>AR5-$B5</f>
        <v>148816</v>
      </c>
    </row>
    <row r="6" spans="1:47" x14ac:dyDescent="0.35">
      <c r="A6" s="15">
        <f>60</f>
        <v>60</v>
      </c>
      <c r="B6" s="9">
        <f>A6*Personal!$B$1/100</f>
        <v>930000</v>
      </c>
      <c r="C6" s="9">
        <f t="shared" ref="C6:C9" si="0">B6/3</f>
        <v>310000</v>
      </c>
      <c r="D6" s="9">
        <f t="shared" ref="D6:D9" si="1">B6-C6</f>
        <v>620000</v>
      </c>
      <c r="E6" s="9">
        <v>0.7</v>
      </c>
      <c r="F6" s="9">
        <v>1032</v>
      </c>
      <c r="G6" s="9">
        <f t="shared" ref="G6:G9" si="2">F6*25*12</f>
        <v>309600</v>
      </c>
      <c r="H6" s="9">
        <v>3.25</v>
      </c>
      <c r="I6" s="9">
        <v>4482</v>
      </c>
      <c r="J6" s="9">
        <f t="shared" ref="J6:J9" si="3">I6*$E$1*12</f>
        <v>699192</v>
      </c>
      <c r="K6" s="9">
        <f t="shared" ref="K6:K9" si="4">J6+G6</f>
        <v>1008792</v>
      </c>
      <c r="L6" s="16">
        <f t="shared" ref="L6:L9" si="5">I6+F6</f>
        <v>5514</v>
      </c>
      <c r="M6" s="16">
        <f t="shared" ref="M6:M9" si="6">N6/B6</f>
        <v>8.4722580645161291E-2</v>
      </c>
      <c r="N6" s="16">
        <f t="shared" ref="N6:N9" si="7">K6-C6-D6</f>
        <v>78792</v>
      </c>
      <c r="P6" s="9">
        <v>0.7</v>
      </c>
      <c r="Q6" s="9">
        <v>1032</v>
      </c>
      <c r="R6" s="9">
        <f t="shared" ref="R6:R9" si="8">Q6*25*12</f>
        <v>309600</v>
      </c>
      <c r="S6" s="9">
        <v>3.25</v>
      </c>
      <c r="T6" s="9">
        <v>4005</v>
      </c>
      <c r="U6" s="9">
        <f t="shared" ref="U6:U9" si="9">T6*15*12</f>
        <v>720900</v>
      </c>
      <c r="V6" s="9">
        <f t="shared" ref="V6:V9" si="10">U6+R6</f>
        <v>1030500</v>
      </c>
      <c r="W6" s="17">
        <f t="shared" ref="W6:W9" si="11">T6+Q6</f>
        <v>5037</v>
      </c>
      <c r="X6" s="17">
        <f t="shared" ref="X6:X9" si="12">Y6/$B6</f>
        <v>0.10806451612903226</v>
      </c>
      <c r="Y6" s="17">
        <f t="shared" ref="Y6:Y9" si="13">V6-$B6</f>
        <v>100500</v>
      </c>
      <c r="AA6" s="9">
        <v>0.7</v>
      </c>
      <c r="AB6" s="9">
        <v>1032</v>
      </c>
      <c r="AC6" s="9">
        <f t="shared" ref="AC6:AC9" si="14">AB6*25*12</f>
        <v>309600</v>
      </c>
      <c r="AD6" s="9">
        <v>3.5</v>
      </c>
      <c r="AE6" s="9">
        <v>3714</v>
      </c>
      <c r="AF6" s="9">
        <f t="shared" ref="AF6:AF9" si="15">AE6*17*12</f>
        <v>757656</v>
      </c>
      <c r="AG6" s="9">
        <f t="shared" ref="AG6:AG9" si="16">AF6+AC6</f>
        <v>1067256</v>
      </c>
      <c r="AH6" s="16">
        <f t="shared" ref="AH6:AH9" si="17">AE6+AB6</f>
        <v>4746</v>
      </c>
      <c r="AI6" s="16">
        <f t="shared" ref="AI6:AI9" si="18">AJ6/B6</f>
        <v>0.14758709677419354</v>
      </c>
      <c r="AJ6" s="16">
        <f t="shared" ref="AJ6:AJ9" si="19">AG6-$B6</f>
        <v>137256</v>
      </c>
      <c r="AL6" s="9">
        <v>0.7</v>
      </c>
      <c r="AM6" s="9">
        <v>1032</v>
      </c>
      <c r="AN6" s="9">
        <f t="shared" ref="AN6:AN9" si="20">AM6*25*12</f>
        <v>309600</v>
      </c>
      <c r="AO6" s="9">
        <v>3.5</v>
      </c>
      <c r="AP6" s="9">
        <v>3431</v>
      </c>
      <c r="AQ6" s="9">
        <f t="shared" ref="AQ6:AQ9" si="21">AP6*19*12</f>
        <v>782268</v>
      </c>
      <c r="AR6" s="9">
        <f t="shared" ref="AR6:AR9" si="22">AQ6+AN6</f>
        <v>1091868</v>
      </c>
      <c r="AS6" s="9">
        <f t="shared" ref="AS6:AS9" si="23">AP6+AM6</f>
        <v>4463</v>
      </c>
      <c r="AT6" s="9">
        <f t="shared" ref="AT6:AT9" si="24">AU6/$B6</f>
        <v>0.17405161290322579</v>
      </c>
      <c r="AU6" s="9">
        <f t="shared" ref="AU6:AU9" si="25">AR6-$B6</f>
        <v>161868</v>
      </c>
    </row>
    <row r="7" spans="1:47" x14ac:dyDescent="0.35">
      <c r="A7" s="9">
        <v>65</v>
      </c>
      <c r="B7" s="9">
        <f>A7*Personal!$B$1/100</f>
        <v>1007500</v>
      </c>
      <c r="C7" s="9">
        <f t="shared" si="0"/>
        <v>335833.33333333331</v>
      </c>
      <c r="D7" s="9">
        <f t="shared" si="1"/>
        <v>671666.66666666674</v>
      </c>
      <c r="E7" s="9">
        <v>0.7</v>
      </c>
      <c r="F7" s="9">
        <v>1120</v>
      </c>
      <c r="G7" s="9">
        <f t="shared" si="2"/>
        <v>336000</v>
      </c>
      <c r="H7" s="9">
        <v>3.25</v>
      </c>
      <c r="I7" s="9">
        <v>4853</v>
      </c>
      <c r="J7" s="9">
        <f t="shared" si="3"/>
        <v>757068</v>
      </c>
      <c r="K7" s="9">
        <f t="shared" si="4"/>
        <v>1093068</v>
      </c>
      <c r="L7" s="16">
        <f t="shared" si="5"/>
        <v>5973</v>
      </c>
      <c r="M7" s="16">
        <f t="shared" si="6"/>
        <v>8.4931017369727052E-2</v>
      </c>
      <c r="N7" s="16">
        <f t="shared" si="7"/>
        <v>85568</v>
      </c>
      <c r="P7" s="9">
        <v>0.7</v>
      </c>
      <c r="Q7" s="9">
        <v>1120</v>
      </c>
      <c r="R7" s="9">
        <f t="shared" si="8"/>
        <v>336000</v>
      </c>
      <c r="S7" s="9">
        <v>3.25</v>
      </c>
      <c r="T7" s="9">
        <v>4343</v>
      </c>
      <c r="U7" s="9">
        <f t="shared" si="9"/>
        <v>781740</v>
      </c>
      <c r="V7" s="9">
        <f t="shared" si="10"/>
        <v>1117740</v>
      </c>
      <c r="W7" s="16">
        <f t="shared" si="11"/>
        <v>5463</v>
      </c>
      <c r="X7" s="16">
        <f t="shared" si="12"/>
        <v>0.10941935483870968</v>
      </c>
      <c r="Y7" s="16">
        <f t="shared" si="13"/>
        <v>110240</v>
      </c>
      <c r="AA7" s="9">
        <v>0.7</v>
      </c>
      <c r="AB7" s="9">
        <v>1120</v>
      </c>
      <c r="AC7" s="9">
        <f t="shared" si="14"/>
        <v>336000</v>
      </c>
      <c r="AD7" s="9">
        <v>3.5</v>
      </c>
      <c r="AE7" s="9">
        <v>4028</v>
      </c>
      <c r="AF7" s="9">
        <f t="shared" si="15"/>
        <v>821712</v>
      </c>
      <c r="AG7" s="9">
        <f t="shared" si="16"/>
        <v>1157712</v>
      </c>
      <c r="AH7" s="16">
        <f t="shared" si="17"/>
        <v>5148</v>
      </c>
      <c r="AI7" s="16">
        <f t="shared" si="18"/>
        <v>0.14909379652605459</v>
      </c>
      <c r="AJ7" s="16">
        <f t="shared" si="19"/>
        <v>150212</v>
      </c>
      <c r="AL7" s="9">
        <v>0.7</v>
      </c>
      <c r="AM7" s="9">
        <v>1120</v>
      </c>
      <c r="AN7" s="9">
        <f t="shared" si="20"/>
        <v>336000</v>
      </c>
      <c r="AO7" s="9">
        <v>3.5</v>
      </c>
      <c r="AP7" s="9">
        <v>3721</v>
      </c>
      <c r="AQ7" s="9">
        <f t="shared" si="21"/>
        <v>848388</v>
      </c>
      <c r="AR7" s="9">
        <f t="shared" si="22"/>
        <v>1184388</v>
      </c>
      <c r="AS7" s="16">
        <f t="shared" si="23"/>
        <v>4841</v>
      </c>
      <c r="AT7" s="16">
        <f t="shared" si="24"/>
        <v>0.17557121588089331</v>
      </c>
      <c r="AU7" s="16">
        <f t="shared" si="25"/>
        <v>176888</v>
      </c>
    </row>
    <row r="8" spans="1:47" x14ac:dyDescent="0.35">
      <c r="A8" s="15">
        <v>70</v>
      </c>
      <c r="B8" s="9">
        <f>A8*Personal!$B$1/100</f>
        <v>1085000</v>
      </c>
      <c r="C8" s="9">
        <f t="shared" si="0"/>
        <v>361666.66666666669</v>
      </c>
      <c r="D8" s="9">
        <f t="shared" si="1"/>
        <v>723333.33333333326</v>
      </c>
      <c r="E8" s="9">
        <v>0.7</v>
      </c>
      <c r="F8" s="9">
        <v>1207</v>
      </c>
      <c r="G8" s="9">
        <f t="shared" si="2"/>
        <v>362100</v>
      </c>
      <c r="H8" s="9">
        <v>3.25</v>
      </c>
      <c r="I8" s="9">
        <v>5232</v>
      </c>
      <c r="J8" s="9">
        <f t="shared" si="3"/>
        <v>816192</v>
      </c>
      <c r="K8" s="9">
        <f t="shared" si="4"/>
        <v>1178292</v>
      </c>
      <c r="L8">
        <f t="shared" si="5"/>
        <v>6439</v>
      </c>
      <c r="M8">
        <f t="shared" si="6"/>
        <v>8.5983410138248853E-2</v>
      </c>
      <c r="N8">
        <f t="shared" si="7"/>
        <v>93292</v>
      </c>
      <c r="P8" s="9">
        <v>0.7</v>
      </c>
      <c r="Q8" s="9">
        <v>1207</v>
      </c>
      <c r="R8" s="9">
        <f t="shared" si="8"/>
        <v>362100</v>
      </c>
      <c r="S8" s="9">
        <v>3.25</v>
      </c>
      <c r="T8" s="9">
        <v>4674</v>
      </c>
      <c r="U8" s="9">
        <f t="shared" si="9"/>
        <v>841320</v>
      </c>
      <c r="V8" s="9">
        <f t="shared" si="10"/>
        <v>1203420</v>
      </c>
      <c r="W8" s="16">
        <f t="shared" si="11"/>
        <v>5881</v>
      </c>
      <c r="X8" s="16">
        <f t="shared" si="12"/>
        <v>0.10914285714285714</v>
      </c>
      <c r="Y8" s="16">
        <f t="shared" si="13"/>
        <v>118420</v>
      </c>
      <c r="AA8" s="9">
        <v>0.7</v>
      </c>
      <c r="AB8" s="9">
        <v>1207</v>
      </c>
      <c r="AC8" s="9">
        <f t="shared" si="14"/>
        <v>362100</v>
      </c>
      <c r="AD8" s="9">
        <v>3.5</v>
      </c>
      <c r="AE8" s="9">
        <v>4336</v>
      </c>
      <c r="AF8" s="9">
        <f t="shared" si="15"/>
        <v>884544</v>
      </c>
      <c r="AG8" s="9">
        <f t="shared" si="16"/>
        <v>1246644</v>
      </c>
      <c r="AH8" s="16">
        <f t="shared" si="17"/>
        <v>5543</v>
      </c>
      <c r="AI8" s="16">
        <f t="shared" si="18"/>
        <v>0.14898064516129031</v>
      </c>
      <c r="AJ8" s="16">
        <f t="shared" si="19"/>
        <v>161644</v>
      </c>
      <c r="AL8" s="9">
        <v>0.7</v>
      </c>
      <c r="AM8" s="9">
        <v>1207</v>
      </c>
      <c r="AN8" s="9">
        <f t="shared" si="20"/>
        <v>362100</v>
      </c>
      <c r="AO8" s="9">
        <v>3.5</v>
      </c>
      <c r="AP8" s="9">
        <v>4004</v>
      </c>
      <c r="AQ8" s="9">
        <f t="shared" si="21"/>
        <v>912912</v>
      </c>
      <c r="AR8" s="9">
        <f t="shared" si="22"/>
        <v>1275012</v>
      </c>
      <c r="AS8" s="16">
        <f t="shared" si="23"/>
        <v>5211</v>
      </c>
      <c r="AT8" s="16">
        <f t="shared" si="24"/>
        <v>0.175126267281106</v>
      </c>
      <c r="AU8" s="16">
        <f t="shared" si="25"/>
        <v>190012</v>
      </c>
    </row>
    <row r="9" spans="1:47" x14ac:dyDescent="0.35">
      <c r="A9" s="9">
        <v>75</v>
      </c>
      <c r="B9" s="9">
        <f>A9*Personal!$B$1/100</f>
        <v>1162500</v>
      </c>
      <c r="C9" s="9">
        <f t="shared" si="0"/>
        <v>387500</v>
      </c>
      <c r="D9" s="9">
        <f t="shared" si="1"/>
        <v>775000</v>
      </c>
      <c r="E9" s="9">
        <v>0.7</v>
      </c>
      <c r="F9" s="9">
        <v>1291</v>
      </c>
      <c r="G9" s="9">
        <f t="shared" si="2"/>
        <v>387300</v>
      </c>
      <c r="H9" s="9">
        <v>3.25</v>
      </c>
      <c r="I9" s="9">
        <v>5603</v>
      </c>
      <c r="J9" s="9">
        <f t="shared" si="3"/>
        <v>874068</v>
      </c>
      <c r="K9" s="9">
        <f t="shared" si="4"/>
        <v>1261368</v>
      </c>
      <c r="L9" s="9">
        <f t="shared" si="5"/>
        <v>6894</v>
      </c>
      <c r="M9" s="9">
        <f t="shared" si="6"/>
        <v>8.5047741935483867E-2</v>
      </c>
      <c r="N9" s="9">
        <f t="shared" si="7"/>
        <v>98868</v>
      </c>
      <c r="P9" s="9">
        <v>0.7</v>
      </c>
      <c r="Q9" s="9">
        <v>1291</v>
      </c>
      <c r="R9" s="9">
        <f t="shared" si="8"/>
        <v>387300</v>
      </c>
      <c r="S9" s="9">
        <v>3.25</v>
      </c>
      <c r="T9" s="9">
        <v>5006</v>
      </c>
      <c r="U9" s="9">
        <f t="shared" si="9"/>
        <v>901080</v>
      </c>
      <c r="V9" s="9">
        <f t="shared" si="10"/>
        <v>1288380</v>
      </c>
      <c r="W9" s="9">
        <f t="shared" si="11"/>
        <v>6297</v>
      </c>
      <c r="X9" s="9">
        <f t="shared" si="12"/>
        <v>0.10828387096774193</v>
      </c>
      <c r="Y9" s="9">
        <f t="shared" si="13"/>
        <v>125880</v>
      </c>
      <c r="AA9" s="9">
        <v>0.7</v>
      </c>
      <c r="AB9" s="9">
        <v>1291</v>
      </c>
      <c r="AC9" s="9">
        <f t="shared" si="14"/>
        <v>387300</v>
      </c>
      <c r="AD9" s="9">
        <v>3.5</v>
      </c>
      <c r="AE9" s="9">
        <v>4643</v>
      </c>
      <c r="AF9" s="9">
        <f t="shared" si="15"/>
        <v>947172</v>
      </c>
      <c r="AG9" s="9">
        <f t="shared" si="16"/>
        <v>1334472</v>
      </c>
      <c r="AH9" s="16">
        <f t="shared" si="17"/>
        <v>5934</v>
      </c>
      <c r="AI9" s="16">
        <f t="shared" si="18"/>
        <v>0.14793290322580646</v>
      </c>
      <c r="AJ9" s="16">
        <f t="shared" si="19"/>
        <v>171972</v>
      </c>
      <c r="AL9" s="9">
        <v>0.7</v>
      </c>
      <c r="AM9" s="9">
        <v>1291</v>
      </c>
      <c r="AN9" s="9">
        <f t="shared" si="20"/>
        <v>387300</v>
      </c>
      <c r="AO9" s="9">
        <v>3.5</v>
      </c>
      <c r="AP9" s="9">
        <v>4288</v>
      </c>
      <c r="AQ9" s="9">
        <f t="shared" si="21"/>
        <v>977664</v>
      </c>
      <c r="AR9" s="9">
        <f t="shared" si="22"/>
        <v>1364964</v>
      </c>
      <c r="AS9" s="16">
        <f t="shared" si="23"/>
        <v>5579</v>
      </c>
      <c r="AT9" s="16">
        <f t="shared" si="24"/>
        <v>0.1741625806451613</v>
      </c>
      <c r="AU9" s="16">
        <f t="shared" si="25"/>
        <v>202464</v>
      </c>
    </row>
    <row r="10" spans="1:47" x14ac:dyDescent="0.35">
      <c r="A10" s="15"/>
    </row>
  </sheetData>
  <mergeCells count="26">
    <mergeCell ref="AO3:AQ3"/>
    <mergeCell ref="A1:B3"/>
    <mergeCell ref="C1:D3"/>
    <mergeCell ref="E1:N1"/>
    <mergeCell ref="P1:Y1"/>
    <mergeCell ref="E3:G3"/>
    <mergeCell ref="H3:J3"/>
    <mergeCell ref="K3:L3"/>
    <mergeCell ref="P3:R3"/>
    <mergeCell ref="S3:U3"/>
    <mergeCell ref="AA1:AJ1"/>
    <mergeCell ref="AL1:AU1"/>
    <mergeCell ref="E2:L2"/>
    <mergeCell ref="M2:N3"/>
    <mergeCell ref="P2:W2"/>
    <mergeCell ref="X2:Y3"/>
    <mergeCell ref="V3:W3"/>
    <mergeCell ref="AR3:AS3"/>
    <mergeCell ref="AA2:AH2"/>
    <mergeCell ref="AI2:AJ3"/>
    <mergeCell ref="AL2:AS2"/>
    <mergeCell ref="AT2:AU3"/>
    <mergeCell ref="AA3:AC3"/>
    <mergeCell ref="AD3:AF3"/>
    <mergeCell ref="AG3:AH3"/>
    <mergeCell ref="AL3:AN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13</vt:i4>
      </vt:variant>
    </vt:vector>
  </HeadingPairs>
  <TitlesOfParts>
    <vt:vector size="25" baseType="lpstr">
      <vt:lpstr>My details</vt:lpstr>
      <vt:lpstr>Initial position</vt:lpstr>
      <vt:lpstr>Market</vt:lpstr>
      <vt:lpstr>Incomes</vt:lpstr>
      <vt:lpstr>Expenses</vt:lpstr>
      <vt:lpstr>Assets</vt:lpstr>
      <vt:lpstr>Loans</vt:lpstr>
      <vt:lpstr>Savings</vt:lpstr>
      <vt:lpstr>Background</vt:lpstr>
      <vt:lpstr>Personal</vt:lpstr>
      <vt:lpstr>Scenarios</vt:lpstr>
      <vt:lpstr>Sheet1</vt:lpstr>
      <vt:lpstr>ActiveOptions</vt:lpstr>
      <vt:lpstr>AssetGentrificationUnits</vt:lpstr>
      <vt:lpstr>DateUnitsOptions</vt:lpstr>
      <vt:lpstr>FrequencyOptions</vt:lpstr>
      <vt:lpstr>IncomeTaxUnitOptions</vt:lpstr>
      <vt:lpstr>InitSavingFactor</vt:lpstr>
      <vt:lpstr>KidsFundInterest</vt:lpstr>
      <vt:lpstr>LawyerPrecent</vt:lpstr>
      <vt:lpstr>LoanTypes</vt:lpstr>
      <vt:lpstr>NadlanPrecent</vt:lpstr>
      <vt:lpstr>RaiseFrequencyOptions</vt:lpstr>
      <vt:lpstr>UseFirstFundHadas</vt:lpstr>
      <vt:lpstr>UseFirstFundItay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HadasAndIay Karo</cp:lastModifiedBy>
  <dcterms:created xsi:type="dcterms:W3CDTF">2006-09-16T00:00:00Z</dcterms:created>
  <dcterms:modified xsi:type="dcterms:W3CDTF">2017-04-15T22:35:57Z</dcterms:modified>
</cp:coreProperties>
</file>