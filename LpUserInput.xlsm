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dasAndIay\Google Drive\Itay\LifePlan\VER_02\"/>
    </mc:Choice>
  </mc:AlternateContent>
  <bookViews>
    <workbookView xWindow="240" yWindow="105" windowWidth="7260" windowHeight="1695" tabRatio="670" activeTab="3"/>
  </bookViews>
  <sheets>
    <sheet name="My details" sheetId="11" r:id="rId1"/>
    <sheet name="Initial position" sheetId="10" r:id="rId2"/>
    <sheet name="Market" sheetId="9" r:id="rId3"/>
    <sheet name="Incomes" sheetId="5" r:id="rId4"/>
    <sheet name="Expenses" sheetId="4" r:id="rId5"/>
    <sheet name="Assets" sheetId="6" r:id="rId6"/>
    <sheet name="Loans" sheetId="7" r:id="rId7"/>
    <sheet name="Savings" sheetId="8" r:id="rId8"/>
    <sheet name="Background" sheetId="2" r:id="rId9"/>
    <sheet name="Personal" sheetId="12" r:id="rId10"/>
    <sheet name="Personal2" sheetId="13" r:id="rId11"/>
  </sheets>
  <definedNames>
    <definedName name="ActiveOptions">Background!$A$2:$A$3</definedName>
    <definedName name="AssetGentrificationUnits">Background!$E$2:$E$3</definedName>
    <definedName name="DateUnitsOptions">Background!$C$2:$C$4</definedName>
    <definedName name="FrequencyOptions">Background!$B$2:$B$3</definedName>
    <definedName name="IncomeTaxUnitOptions">Background!$D$2:$D$3</definedName>
    <definedName name="RaiseFrequencyOptions">Background!$F$2:$F$4</definedName>
  </definedNames>
  <calcPr calcId="162913"/>
</workbook>
</file>

<file path=xl/calcChain.xml><?xml version="1.0" encoding="utf-8"?>
<calcChain xmlns="http://schemas.openxmlformats.org/spreadsheetml/2006/main">
  <c r="D8" i="12" l="1"/>
  <c r="C24" i="4"/>
  <c r="D5" i="12"/>
  <c r="B2" i="11"/>
  <c r="C21" i="4"/>
  <c r="C16" i="4"/>
  <c r="C15" i="4"/>
  <c r="C20" i="4" s="1"/>
  <c r="J8" i="13"/>
  <c r="J9" i="13" s="1"/>
  <c r="E14" i="4"/>
  <c r="E17" i="4" s="1"/>
  <c r="C19" i="4"/>
  <c r="C14" i="4"/>
  <c r="E10" i="4"/>
  <c r="E11" i="4" s="1"/>
  <c r="C9" i="4"/>
  <c r="E13" i="4" l="1"/>
  <c r="E19" i="4"/>
  <c r="E15" i="4"/>
  <c r="E16" i="4" s="1"/>
  <c r="J10" i="13"/>
  <c r="E6" i="5"/>
  <c r="B9" i="13"/>
  <c r="E20" i="4" l="1"/>
  <c r="E21" i="4" s="1"/>
  <c r="E18" i="4"/>
  <c r="E22" i="4"/>
  <c r="B8" i="13"/>
  <c r="C11" i="5"/>
  <c r="D11" i="5"/>
  <c r="D23" i="4"/>
  <c r="C8" i="4"/>
  <c r="C13" i="4" s="1"/>
  <c r="C18" i="4" s="1"/>
  <c r="D12" i="5"/>
  <c r="L3" i="13"/>
  <c r="D6" i="13"/>
  <c r="D5" i="13"/>
  <c r="D3" i="13"/>
  <c r="D2" i="13"/>
  <c r="G2" i="13" s="1"/>
  <c r="K8" i="12"/>
  <c r="K6" i="12"/>
  <c r="K5" i="12"/>
  <c r="K2" i="12"/>
  <c r="G2" i="12"/>
  <c r="G3" i="12" s="1"/>
  <c r="L6" i="12" s="1"/>
  <c r="D6" i="12"/>
  <c r="D2" i="12"/>
  <c r="D3" i="12"/>
  <c r="C6" i="5"/>
  <c r="L8" i="12" l="1"/>
  <c r="L5" i="12"/>
  <c r="L2" i="12"/>
  <c r="G5" i="12"/>
  <c r="G6" i="12" s="1"/>
  <c r="L3" i="12"/>
  <c r="G3" i="13"/>
  <c r="G4" i="13"/>
  <c r="G4" i="12"/>
  <c r="C8" i="5"/>
  <c r="C5" i="7"/>
  <c r="L2" i="13" l="1"/>
  <c r="G5" i="13"/>
  <c r="G6" i="13" s="1"/>
  <c r="C7" i="4"/>
</calcChain>
</file>

<file path=xl/sharedStrings.xml><?xml version="1.0" encoding="utf-8"?>
<sst xmlns="http://schemas.openxmlformats.org/spreadsheetml/2006/main" count="372" uniqueCount="131">
  <si>
    <t>Name</t>
  </si>
  <si>
    <t>Amount</t>
  </si>
  <si>
    <t>Frequency</t>
  </si>
  <si>
    <t>Active?</t>
  </si>
  <si>
    <t>Start date</t>
  </si>
  <si>
    <t>Units</t>
  </si>
  <si>
    <t>Duration</t>
  </si>
  <si>
    <t>Tax</t>
  </si>
  <si>
    <t>Value</t>
  </si>
  <si>
    <t>Raises</t>
  </si>
  <si>
    <t>Val</t>
  </si>
  <si>
    <t>Active Options</t>
  </si>
  <si>
    <t>ON</t>
  </si>
  <si>
    <t>OFF</t>
  </si>
  <si>
    <t>FrequencyOptions</t>
  </si>
  <si>
    <t>MONTHLY</t>
  </si>
  <si>
    <t>YEARLY</t>
  </si>
  <si>
    <t>DateUnitsOptions</t>
  </si>
  <si>
    <t>MONTHS</t>
  </si>
  <si>
    <t>YEARS</t>
  </si>
  <si>
    <t>INF</t>
  </si>
  <si>
    <t>PRECENT OF INCOME</t>
  </si>
  <si>
    <t>ACTUAL AMOUNT</t>
  </si>
  <si>
    <t>IncomeTaxUnitOptions</t>
  </si>
  <si>
    <t>StartDate</t>
  </si>
  <si>
    <t>Expenses</t>
  </si>
  <si>
    <t>Dates</t>
  </si>
  <si>
    <t>Incomes</t>
  </si>
  <si>
    <t>Unit</t>
  </si>
  <si>
    <t>Assets</t>
  </si>
  <si>
    <t>Purchsase</t>
  </si>
  <si>
    <t>Date</t>
  </si>
  <si>
    <t>Sell</t>
  </si>
  <si>
    <t>Gentrification</t>
  </si>
  <si>
    <t>Yield</t>
  </si>
  <si>
    <t>units</t>
  </si>
  <si>
    <t>Delay</t>
  </si>
  <si>
    <t xml:space="preserve">Value </t>
  </si>
  <si>
    <t>Purchase value</t>
  </si>
  <si>
    <t>Sell value</t>
  </si>
  <si>
    <t>how much did it cost you?</t>
  </si>
  <si>
    <t>How much money did you get for selling it?</t>
  </si>
  <si>
    <t>Value rise of the asset with time</t>
  </si>
  <si>
    <t>How much money will you get from the asset as long as you own it? (rent, selling its products etc.)</t>
  </si>
  <si>
    <t>AssetGentrificationUnits</t>
  </si>
  <si>
    <t>PrecentOfValue</t>
  </si>
  <si>
    <t>Loans</t>
  </si>
  <si>
    <t>Start</t>
  </si>
  <si>
    <t>Interest</t>
  </si>
  <si>
    <t>Linked to index?</t>
  </si>
  <si>
    <t>Principal</t>
  </si>
  <si>
    <t>Init value (precents)</t>
  </si>
  <si>
    <t>Savings</t>
  </si>
  <si>
    <t>Start amount</t>
  </si>
  <si>
    <t>Management fee</t>
  </si>
  <si>
    <t>End</t>
  </si>
  <si>
    <t>Standing order
(Monthly)</t>
  </si>
  <si>
    <t>PRECETS OF VALUE</t>
  </si>
  <si>
    <t>Customer name</t>
  </si>
  <si>
    <t>Hadas and itay</t>
  </si>
  <si>
    <t>Initial position</t>
  </si>
  <si>
    <t>Number of previously sold assets</t>
  </si>
  <si>
    <t>Cash</t>
  </si>
  <si>
    <t>TIPS</t>
  </si>
  <si>
    <t>Assets, savings and loans that will have the start date value 0, will be processed as if they were initally present.</t>
  </si>
  <si>
    <t>Market</t>
  </si>
  <si>
    <t>Stochastic behaviour?</t>
  </si>
  <si>
    <t>Index</t>
  </si>
  <si>
    <t>Period</t>
  </si>
  <si>
    <t>Trend (precents)</t>
  </si>
  <si>
    <t>Variance (precents^2)</t>
  </si>
  <si>
    <t>RaiseFrequencyOptions</t>
  </si>
  <si>
    <t>ONE TIME</t>
  </si>
  <si>
    <t>Months planned</t>
  </si>
  <si>
    <t>Our home</t>
  </si>
  <si>
    <t>My first loan const</t>
  </si>
  <si>
    <t>Hadas Salary</t>
  </si>
  <si>
    <t>Itay Salary</t>
  </si>
  <si>
    <t>Birth vacation 1</t>
  </si>
  <si>
    <t>Monthly expenses</t>
  </si>
  <si>
    <t>Neto</t>
  </si>
  <si>
    <t>Itay education</t>
  </si>
  <si>
    <t>Car</t>
  </si>
  <si>
    <t>From parents</t>
  </si>
  <si>
    <t>MortgageSim</t>
  </si>
  <si>
    <t>Child1</t>
  </si>
  <si>
    <t>Rent</t>
  </si>
  <si>
    <t>Birth vacation 2</t>
  </si>
  <si>
    <t>Birth vacation 3</t>
  </si>
  <si>
    <t>Child2</t>
  </si>
  <si>
    <t>Child3</t>
  </si>
  <si>
    <t>Hadas reduced</t>
  </si>
  <si>
    <t>Itay work fund</t>
  </si>
  <si>
    <t>Hadas work fund</t>
  </si>
  <si>
    <t>House</t>
  </si>
  <si>
    <t>Lawyer</t>
  </si>
  <si>
    <t>Nadlan</t>
  </si>
  <si>
    <t>Cash for House</t>
  </si>
  <si>
    <t>Mortgage</t>
  </si>
  <si>
    <t>Lost salary</t>
  </si>
  <si>
    <t>Furniture</t>
  </si>
  <si>
    <t>Precent</t>
  </si>
  <si>
    <t>Prime</t>
  </si>
  <si>
    <t>rest</t>
  </si>
  <si>
    <t>Options</t>
  </si>
  <si>
    <t>30Prime17Regular</t>
  </si>
  <si>
    <t>MonthlyPayment</t>
  </si>
  <si>
    <t>InterestPrecent</t>
  </si>
  <si>
    <t>20Prime19Regular</t>
  </si>
  <si>
    <t>30Prime22Regular</t>
  </si>
  <si>
    <t>30Prime29Regular</t>
  </si>
  <si>
    <t>30Prime13Regular</t>
  </si>
  <si>
    <t>30Prime15Regular</t>
  </si>
  <si>
    <t>30Prime21Regular</t>
  </si>
  <si>
    <t>Hadas reduced work fund</t>
  </si>
  <si>
    <t>Child</t>
  </si>
  <si>
    <t>Child 1 fund</t>
  </si>
  <si>
    <t>Child 2 fund</t>
  </si>
  <si>
    <t>Child 3 fund</t>
  </si>
  <si>
    <t>Child 1 begin</t>
  </si>
  <si>
    <t>Child 1 mid</t>
  </si>
  <si>
    <t>Child 1 adult</t>
  </si>
  <si>
    <t>Child 2 begin</t>
  </si>
  <si>
    <t>Child 2 mid</t>
  </si>
  <si>
    <t>Child 2 adult</t>
  </si>
  <si>
    <t>Child 3 begin</t>
  </si>
  <si>
    <t>Child 3 mid</t>
  </si>
  <si>
    <t>Child 3 adult</t>
  </si>
  <si>
    <t>BigHouse</t>
  </si>
  <si>
    <t>SmallHouse</t>
  </si>
  <si>
    <t>HouseInitPayment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</si>
</sst>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0" applyNumberFormat="0" applyBorder="0" applyAlignment="0" applyProtection="0"/>
    <xf numFmtId="0" fontId="4" fillId="4" borderId="8" applyNumberFormat="0" applyAlignment="0" applyProtection="0"/>
    <xf numFmtId="0" fontId="5" fillId="0" borderId="0" applyNumberFormat="0" applyFill="0" applyBorder="0" applyAlignment="0" applyProtection="0"/>
  </cellStyleXfs>
  <cellXfs count="28">
    <xf numFmtId="0" fontId="0" fillId="0" borderId="0" xfId="0"/>
    <xf numFmtId="0" fontId="2" fillId="2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0" borderId="2" xfId="4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0" fontId="2" fillId="2" borderId="1" xfId="1"/>
    <xf numFmtId="0" fontId="3" fillId="3" borderId="0" xfId="2" applyAlignment="1">
      <alignment horizontal="center"/>
    </xf>
    <xf numFmtId="0" fontId="5" fillId="0" borderId="0" xfId="4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2" fillId="2" borderId="3" xfId="1" applyBorder="1" applyAlignment="1">
      <alignment horizontal="center" vertical="center"/>
    </xf>
    <xf numFmtId="0" fontId="2" fillId="2" borderId="7" xfId="1" applyBorder="1" applyAlignment="1">
      <alignment horizontal="center" vertical="center"/>
    </xf>
    <xf numFmtId="0" fontId="2" fillId="2" borderId="4" xfId="1" applyBorder="1" applyAlignment="1">
      <alignment horizontal="center" vertical="center"/>
    </xf>
    <xf numFmtId="0" fontId="2" fillId="2" borderId="9" xfId="1" applyBorder="1" applyAlignment="1">
      <alignment horizontal="center" vertical="center"/>
    </xf>
    <xf numFmtId="0" fontId="2" fillId="2" borderId="10" xfId="1" applyBorder="1" applyAlignment="1">
      <alignment horizontal="center" vertical="center"/>
    </xf>
    <xf numFmtId="0" fontId="2" fillId="2" borderId="11" xfId="1" applyBorder="1" applyAlignment="1">
      <alignment horizontal="center" vertical="center"/>
    </xf>
    <xf numFmtId="0" fontId="2" fillId="2" borderId="1" xfId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5" xfId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1" xfId="1" applyAlignment="1">
      <alignment horizontal="center" vertical="center" wrapText="1"/>
    </xf>
    <xf numFmtId="0" fontId="2" fillId="2" borderId="9" xfId="1" applyBorder="1" applyAlignment="1">
      <alignment horizontal="center" vertical="center" wrapText="1"/>
    </xf>
    <xf numFmtId="0" fontId="2" fillId="2" borderId="10" xfId="1" applyBorder="1" applyAlignment="1">
      <alignment horizontal="center" vertical="center" wrapText="1"/>
    </xf>
  </cellXfs>
  <cellStyles count="5">
    <cellStyle name="Calculation" xfId="3" builtinId="22"/>
    <cellStyle name="Check Cell" xfId="1" builtinId="23"/>
    <cellStyle name="Explanatory Text" xfId="4" builtinId="53"/>
    <cellStyle name="Good" xfId="2" builtinId="26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9525</xdr:rowOff>
        </xdr:from>
        <xdr:to>
          <xdr:col>1</xdr:col>
          <xdr:colOff>771525</xdr:colOff>
          <xdr:row>8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zoomScale="175" zoomScaleNormal="175" workbookViewId="0">
      <selection activeCell="B2" sqref="B2"/>
    </sheetView>
  </sheetViews>
  <sheetFormatPr defaultRowHeight="15" x14ac:dyDescent="0.25"/>
  <cols>
    <col min="1" max="1" width="15.140625" bestFit="1" customWidth="1"/>
    <col min="2" max="2" width="15.7109375" bestFit="1" customWidth="1"/>
  </cols>
  <sheetData>
    <row r="1" spans="1:2" ht="16.5" thickTop="1" thickBot="1" x14ac:dyDescent="0.3">
      <c r="A1" s="6" t="s">
        <v>58</v>
      </c>
      <c r="B1" s="6" t="s">
        <v>73</v>
      </c>
    </row>
    <row r="2" spans="1:2" ht="15.75" thickTop="1" x14ac:dyDescent="0.25">
      <c r="A2" t="s">
        <v>59</v>
      </c>
      <c r="B2">
        <f>17*12</f>
        <v>204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zoomScale="130" zoomScaleNormal="130" workbookViewId="0">
      <selection activeCell="B10" sqref="B10"/>
    </sheetView>
  </sheetViews>
  <sheetFormatPr defaultRowHeight="15" x14ac:dyDescent="0.25"/>
  <cols>
    <col min="1" max="1" width="14" bestFit="1" customWidth="1"/>
    <col min="2" max="2" width="31" bestFit="1" customWidth="1"/>
    <col min="5" max="5" width="105.7109375" style="3" bestFit="1" customWidth="1"/>
  </cols>
  <sheetData>
    <row r="1" spans="1:5" ht="16.5" thickTop="1" thickBot="1" x14ac:dyDescent="0.3">
      <c r="A1" s="12" t="s">
        <v>60</v>
      </c>
      <c r="B1" s="13"/>
      <c r="E1" s="7" t="s">
        <v>63</v>
      </c>
    </row>
    <row r="2" spans="1:5" ht="16.5" thickTop="1" thickBot="1" x14ac:dyDescent="0.3">
      <c r="A2" s="6" t="s">
        <v>62</v>
      </c>
      <c r="B2" s="6" t="s">
        <v>61</v>
      </c>
      <c r="E2" s="8" t="s">
        <v>64</v>
      </c>
    </row>
    <row r="3" spans="1:5" ht="15.75" thickTop="1" x14ac:dyDescent="0.25">
      <c r="A3">
        <v>155000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zoomScale="130" zoomScaleNormal="130" workbookViewId="0">
      <selection activeCell="D8" sqref="D8"/>
    </sheetView>
  </sheetViews>
  <sheetFormatPr defaultRowHeight="15" x14ac:dyDescent="0.25"/>
  <cols>
    <col min="1" max="1" width="20.5703125" style="2" bestFit="1" customWidth="1"/>
    <col min="2" max="2" width="9.140625" style="2"/>
    <col min="3" max="3" width="7.28515625" style="2" bestFit="1" customWidth="1"/>
    <col min="4" max="4" width="20.5703125" style="2" bestFit="1" customWidth="1"/>
    <col min="5" max="16384" width="9.140625" style="2"/>
  </cols>
  <sheetData>
    <row r="1" spans="1:4" ht="16.5" thickTop="1" thickBot="1" x14ac:dyDescent="0.3">
      <c r="A1" s="14" t="s">
        <v>65</v>
      </c>
      <c r="B1" s="15"/>
      <c r="C1" s="15"/>
      <c r="D1" s="16"/>
    </row>
    <row r="2" spans="1:4" ht="16.5" thickTop="1" thickBot="1" x14ac:dyDescent="0.3">
      <c r="A2" s="17" t="s">
        <v>66</v>
      </c>
      <c r="B2" s="14" t="s">
        <v>67</v>
      </c>
      <c r="C2" s="15"/>
      <c r="D2" s="16"/>
    </row>
    <row r="3" spans="1:4" ht="16.5" thickTop="1" thickBot="1" x14ac:dyDescent="0.3">
      <c r="A3" s="19"/>
      <c r="B3" s="14" t="s">
        <v>69</v>
      </c>
      <c r="C3" s="16"/>
      <c r="D3" s="17" t="s">
        <v>70</v>
      </c>
    </row>
    <row r="4" spans="1:4" ht="16.5" thickTop="1" thickBot="1" x14ac:dyDescent="0.3">
      <c r="A4" s="18"/>
      <c r="B4" s="1" t="s">
        <v>8</v>
      </c>
      <c r="C4" s="1" t="s">
        <v>68</v>
      </c>
      <c r="D4" s="18"/>
    </row>
    <row r="5" spans="1:4" ht="15.75" thickTop="1" x14ac:dyDescent="0.25">
      <c r="A5" s="3" t="s">
        <v>13</v>
      </c>
      <c r="B5" s="2">
        <v>2</v>
      </c>
      <c r="C5" s="3">
        <v>12</v>
      </c>
      <c r="D5" s="2">
        <v>0</v>
      </c>
    </row>
  </sheetData>
  <mergeCells count="5">
    <mergeCell ref="A1:D1"/>
    <mergeCell ref="B2:D2"/>
    <mergeCell ref="B3:C3"/>
    <mergeCell ref="D3:D4"/>
    <mergeCell ref="A2:A4"/>
  </mergeCells>
  <dataValidations count="1">
    <dataValidation type="list" allowBlank="1" showInputMessage="1" showErrorMessage="1" sqref="A5">
      <formula1>ActiveOptions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"/>
  <sheetViews>
    <sheetView tabSelected="1" zoomScale="160" zoomScaleNormal="160" workbookViewId="0">
      <pane ySplit="4" topLeftCell="A5" activePane="bottomLeft" state="frozen"/>
      <selection pane="bottomLeft" activeCell="B16" sqref="B16"/>
    </sheetView>
  </sheetViews>
  <sheetFormatPr defaultRowHeight="15" x14ac:dyDescent="0.25"/>
  <cols>
    <col min="1" max="1" width="7.5703125" style="2" bestFit="1" customWidth="1"/>
    <col min="2" max="2" width="22.42578125" style="2" bestFit="1" customWidth="1"/>
    <col min="3" max="3" width="9.85546875" style="2" bestFit="1" customWidth="1"/>
    <col min="4" max="4" width="10.28515625" style="2" bestFit="1" customWidth="1"/>
    <col min="5" max="5" width="5.140625" style="2" bestFit="1" customWidth="1"/>
    <col min="6" max="6" width="8.85546875" style="2" bestFit="1" customWidth="1"/>
    <col min="7" max="7" width="3.85546875" style="2" bestFit="1" customWidth="1"/>
    <col min="8" max="8" width="8.85546875" style="2" bestFit="1" customWidth="1"/>
    <col min="9" max="9" width="3.85546875" style="2" bestFit="1" customWidth="1"/>
    <col min="10" max="10" width="19.7109375" style="2" bestFit="1" customWidth="1"/>
    <col min="11" max="11" width="7.5703125" style="2" bestFit="1" customWidth="1"/>
    <col min="12" max="12" width="4.140625" style="2" bestFit="1" customWidth="1"/>
    <col min="13" max="13" width="19.7109375" style="2" bestFit="1" customWidth="1"/>
    <col min="14" max="14" width="10.28515625" style="2" bestFit="1" customWidth="1"/>
    <col min="15" max="16384" width="9.140625" style="2"/>
  </cols>
  <sheetData>
    <row r="1" spans="1:16" ht="16.5" thickTop="1" thickBot="1" x14ac:dyDescent="0.3">
      <c r="A1" s="14" t="s">
        <v>27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6"/>
    </row>
    <row r="2" spans="1:16" ht="16.5" thickTop="1" thickBot="1" x14ac:dyDescent="0.3">
      <c r="A2" s="17" t="s">
        <v>3</v>
      </c>
      <c r="B2" s="17" t="s">
        <v>0</v>
      </c>
      <c r="C2" s="17" t="s">
        <v>1</v>
      </c>
      <c r="D2" s="17" t="s">
        <v>2</v>
      </c>
      <c r="E2" s="20" t="s">
        <v>26</v>
      </c>
      <c r="F2" s="20"/>
      <c r="G2" s="20"/>
      <c r="H2" s="20"/>
      <c r="I2" s="20" t="s">
        <v>7</v>
      </c>
      <c r="J2" s="20"/>
      <c r="K2" s="14" t="s">
        <v>9</v>
      </c>
      <c r="L2" s="15"/>
      <c r="M2" s="15"/>
      <c r="N2" s="15"/>
      <c r="O2" s="15"/>
      <c r="P2" s="16"/>
    </row>
    <row r="3" spans="1:16" ht="16.5" thickTop="1" thickBot="1" x14ac:dyDescent="0.3">
      <c r="A3" s="19"/>
      <c r="B3" s="19"/>
      <c r="C3" s="19"/>
      <c r="D3" s="19"/>
      <c r="E3" s="20" t="s">
        <v>24</v>
      </c>
      <c r="F3" s="20"/>
      <c r="G3" s="20" t="s">
        <v>6</v>
      </c>
      <c r="H3" s="20"/>
      <c r="I3" s="17" t="s">
        <v>10</v>
      </c>
      <c r="J3" s="17" t="s">
        <v>5</v>
      </c>
      <c r="K3" s="17" t="s">
        <v>3</v>
      </c>
      <c r="L3" s="17" t="s">
        <v>10</v>
      </c>
      <c r="M3" s="17" t="s">
        <v>28</v>
      </c>
      <c r="N3" s="17" t="s">
        <v>2</v>
      </c>
      <c r="O3" s="14" t="s">
        <v>31</v>
      </c>
      <c r="P3" s="16"/>
    </row>
    <row r="4" spans="1:16" ht="16.5" thickTop="1" thickBot="1" x14ac:dyDescent="0.3">
      <c r="A4" s="18"/>
      <c r="B4" s="18"/>
      <c r="C4" s="18"/>
      <c r="D4" s="18"/>
      <c r="E4" s="1" t="s">
        <v>10</v>
      </c>
      <c r="F4" s="1" t="s">
        <v>5</v>
      </c>
      <c r="G4" s="1" t="s">
        <v>10</v>
      </c>
      <c r="H4" s="1" t="s">
        <v>5</v>
      </c>
      <c r="I4" s="18"/>
      <c r="J4" s="18"/>
      <c r="K4" s="18"/>
      <c r="L4" s="18"/>
      <c r="M4" s="18"/>
      <c r="N4" s="18"/>
      <c r="O4" s="1" t="s">
        <v>10</v>
      </c>
      <c r="P4" s="1" t="s">
        <v>5</v>
      </c>
    </row>
    <row r="5" spans="1:16" s="10" customFormat="1" ht="15.75" thickTop="1" x14ac:dyDescent="0.25">
      <c r="A5" s="11" t="s">
        <v>12</v>
      </c>
      <c r="B5" s="2" t="s">
        <v>77</v>
      </c>
      <c r="C5" s="10">
        <v>14000</v>
      </c>
      <c r="D5" s="10">
        <v>1</v>
      </c>
      <c r="E5" s="10">
        <v>0</v>
      </c>
      <c r="F5" s="10" t="s">
        <v>18</v>
      </c>
      <c r="G5" s="10">
        <v>10</v>
      </c>
      <c r="H5" s="10" t="s">
        <v>19</v>
      </c>
      <c r="I5" s="10">
        <v>0</v>
      </c>
      <c r="J5" s="10" t="s">
        <v>21</v>
      </c>
      <c r="K5" s="10" t="s">
        <v>12</v>
      </c>
      <c r="L5" s="10">
        <v>3</v>
      </c>
      <c r="M5" s="10" t="s">
        <v>21</v>
      </c>
      <c r="N5" s="10">
        <v>12</v>
      </c>
      <c r="O5" s="10">
        <v>0</v>
      </c>
      <c r="P5" s="10" t="s">
        <v>18</v>
      </c>
    </row>
    <row r="6" spans="1:16" s="11" customFormat="1" x14ac:dyDescent="0.25">
      <c r="A6" s="11" t="s">
        <v>12</v>
      </c>
      <c r="B6" s="11" t="s">
        <v>77</v>
      </c>
      <c r="C6" s="11">
        <f>C5*(1+L5/100)^G5</f>
        <v>18814.829310817706</v>
      </c>
      <c r="D6" s="11">
        <v>1</v>
      </c>
      <c r="E6" s="11">
        <f>G5*12+1</f>
        <v>121</v>
      </c>
      <c r="F6" s="11" t="s">
        <v>18</v>
      </c>
      <c r="H6" s="11" t="s">
        <v>20</v>
      </c>
      <c r="I6" s="11">
        <v>0</v>
      </c>
      <c r="J6" s="11" t="s">
        <v>21</v>
      </c>
      <c r="K6" s="11" t="s">
        <v>12</v>
      </c>
      <c r="L6" s="11">
        <v>0</v>
      </c>
      <c r="M6" s="11" t="s">
        <v>21</v>
      </c>
      <c r="N6" s="11">
        <v>12</v>
      </c>
      <c r="O6" s="11">
        <v>0</v>
      </c>
      <c r="P6" s="11" t="s">
        <v>18</v>
      </c>
    </row>
    <row r="7" spans="1:16" s="10" customFormat="1" x14ac:dyDescent="0.25">
      <c r="A7" s="11" t="s">
        <v>12</v>
      </c>
      <c r="B7" s="10" t="s">
        <v>76</v>
      </c>
      <c r="C7" s="10">
        <v>15500</v>
      </c>
      <c r="D7" s="11">
        <v>1</v>
      </c>
      <c r="E7" s="10">
        <v>0</v>
      </c>
      <c r="F7" s="10" t="s">
        <v>18</v>
      </c>
      <c r="G7" s="10">
        <v>7</v>
      </c>
      <c r="H7" s="10" t="s">
        <v>18</v>
      </c>
      <c r="I7" s="10">
        <v>0</v>
      </c>
      <c r="J7" s="10" t="s">
        <v>21</v>
      </c>
      <c r="K7" s="10" t="s">
        <v>13</v>
      </c>
      <c r="L7" s="10">
        <v>0</v>
      </c>
      <c r="M7" s="10" t="s">
        <v>21</v>
      </c>
      <c r="N7" s="11">
        <v>12</v>
      </c>
      <c r="O7" s="10">
        <v>0</v>
      </c>
      <c r="P7" s="10" t="s">
        <v>18</v>
      </c>
    </row>
    <row r="8" spans="1:16" s="11" customFormat="1" x14ac:dyDescent="0.25">
      <c r="A8" s="11" t="s">
        <v>12</v>
      </c>
      <c r="B8" s="11" t="s">
        <v>91</v>
      </c>
      <c r="C8" s="11">
        <f>0.8*C7</f>
        <v>12400</v>
      </c>
      <c r="D8" s="11">
        <v>1</v>
      </c>
      <c r="E8" s="11">
        <v>8</v>
      </c>
      <c r="F8" s="11" t="s">
        <v>18</v>
      </c>
      <c r="H8" s="11" t="s">
        <v>20</v>
      </c>
      <c r="I8" s="11">
        <v>0</v>
      </c>
      <c r="J8" s="11" t="s">
        <v>21</v>
      </c>
      <c r="K8" s="11" t="s">
        <v>13</v>
      </c>
      <c r="L8" s="11">
        <v>0</v>
      </c>
      <c r="M8" s="11" t="s">
        <v>21</v>
      </c>
      <c r="N8" s="11">
        <v>12</v>
      </c>
      <c r="O8" s="11">
        <v>0</v>
      </c>
      <c r="P8" s="11" t="s">
        <v>18</v>
      </c>
    </row>
    <row r="9" spans="1:16" s="11" customFormat="1" x14ac:dyDescent="0.25">
      <c r="A9" s="11" t="s">
        <v>13</v>
      </c>
      <c r="B9" s="11" t="s">
        <v>83</v>
      </c>
      <c r="C9" s="11">
        <v>275000</v>
      </c>
      <c r="E9" s="11">
        <v>1</v>
      </c>
      <c r="F9" s="11" t="s">
        <v>18</v>
      </c>
      <c r="G9" s="11">
        <v>1</v>
      </c>
      <c r="H9" s="11" t="s">
        <v>18</v>
      </c>
      <c r="I9" s="11">
        <v>0</v>
      </c>
      <c r="J9" s="11" t="s">
        <v>21</v>
      </c>
      <c r="K9" s="11" t="s">
        <v>13</v>
      </c>
      <c r="L9" s="11">
        <v>0</v>
      </c>
      <c r="M9" s="11" t="s">
        <v>21</v>
      </c>
      <c r="O9" s="11">
        <v>1</v>
      </c>
      <c r="P9" s="11" t="s">
        <v>18</v>
      </c>
    </row>
    <row r="10" spans="1:16" s="11" customFormat="1" x14ac:dyDescent="0.25">
      <c r="A10" s="11" t="s">
        <v>12</v>
      </c>
      <c r="B10" s="11" t="s">
        <v>93</v>
      </c>
      <c r="C10" s="11">
        <v>130000</v>
      </c>
      <c r="E10" s="11">
        <v>1.5</v>
      </c>
      <c r="F10" s="11" t="s">
        <v>19</v>
      </c>
      <c r="G10" s="11">
        <v>1</v>
      </c>
      <c r="H10" s="11" t="s">
        <v>18</v>
      </c>
      <c r="I10" s="11">
        <v>0</v>
      </c>
      <c r="J10" s="11" t="s">
        <v>21</v>
      </c>
      <c r="K10" s="11" t="s">
        <v>13</v>
      </c>
      <c r="L10" s="11">
        <v>2</v>
      </c>
      <c r="M10" s="11" t="s">
        <v>21</v>
      </c>
      <c r="N10" s="11">
        <v>12</v>
      </c>
      <c r="O10" s="11">
        <v>0</v>
      </c>
      <c r="P10" s="11" t="s">
        <v>18</v>
      </c>
    </row>
    <row r="11" spans="1:16" s="11" customFormat="1" x14ac:dyDescent="0.25">
      <c r="A11" s="11" t="s">
        <v>13</v>
      </c>
      <c r="B11" s="11" t="s">
        <v>114</v>
      </c>
      <c r="C11" s="11">
        <f>0.8*C10</f>
        <v>104000</v>
      </c>
      <c r="D11" s="11">
        <f>6*12</f>
        <v>72</v>
      </c>
      <c r="E11" s="11">
        <v>7.5</v>
      </c>
      <c r="F11" s="11" t="s">
        <v>19</v>
      </c>
      <c r="G11" s="11">
        <v>1</v>
      </c>
      <c r="H11" s="11" t="s">
        <v>20</v>
      </c>
      <c r="I11" s="11">
        <v>0</v>
      </c>
      <c r="J11" s="11" t="s">
        <v>21</v>
      </c>
      <c r="K11" s="11" t="s">
        <v>13</v>
      </c>
      <c r="L11" s="11">
        <v>2</v>
      </c>
      <c r="M11" s="11" t="s">
        <v>21</v>
      </c>
      <c r="N11" s="11">
        <v>12</v>
      </c>
      <c r="O11" s="11">
        <v>0</v>
      </c>
      <c r="P11" s="11" t="s">
        <v>18</v>
      </c>
    </row>
    <row r="12" spans="1:16" s="11" customFormat="1" x14ac:dyDescent="0.25">
      <c r="A12" s="11" t="s">
        <v>13</v>
      </c>
      <c r="B12" s="11" t="s">
        <v>92</v>
      </c>
      <c r="C12" s="11">
        <v>130000</v>
      </c>
      <c r="D12" s="11">
        <f>6*12</f>
        <v>72</v>
      </c>
      <c r="E12" s="11">
        <v>4</v>
      </c>
      <c r="F12" s="11" t="s">
        <v>19</v>
      </c>
      <c r="G12" s="11">
        <v>1</v>
      </c>
      <c r="H12" s="11" t="s">
        <v>20</v>
      </c>
      <c r="I12" s="11">
        <v>0</v>
      </c>
      <c r="J12" s="11" t="s">
        <v>21</v>
      </c>
      <c r="K12" s="11" t="s">
        <v>13</v>
      </c>
      <c r="L12" s="11">
        <v>2</v>
      </c>
      <c r="M12" s="11" t="s">
        <v>21</v>
      </c>
      <c r="N12" s="11">
        <v>12</v>
      </c>
      <c r="O12" s="11">
        <v>0</v>
      </c>
      <c r="P12" s="11" t="s">
        <v>18</v>
      </c>
    </row>
  </sheetData>
  <mergeCells count="17">
    <mergeCell ref="G3:H3"/>
    <mergeCell ref="A1:P1"/>
    <mergeCell ref="K2:P2"/>
    <mergeCell ref="O3:P3"/>
    <mergeCell ref="N3:N4"/>
    <mergeCell ref="M3:M4"/>
    <mergeCell ref="L3:L4"/>
    <mergeCell ref="K3:K4"/>
    <mergeCell ref="J3:J4"/>
    <mergeCell ref="I3:I4"/>
    <mergeCell ref="D2:D4"/>
    <mergeCell ref="C2:C4"/>
    <mergeCell ref="B2:B4"/>
    <mergeCell ref="A2:A4"/>
    <mergeCell ref="I2:J2"/>
    <mergeCell ref="E2:H2"/>
    <mergeCell ref="E3:F3"/>
  </mergeCells>
  <dataValidations count="3">
    <dataValidation type="list" allowBlank="1" showInputMessage="1" showErrorMessage="1" sqref="H5:H12 P5:P12 F5:F12">
      <formula1>DateUnitsOptions</formula1>
    </dataValidation>
    <dataValidation type="list" allowBlank="1" showInputMessage="1" showErrorMessage="1" sqref="M5:M12 J5:J12">
      <formula1>IncomeTaxUnitOptions</formula1>
    </dataValidation>
    <dataValidation type="list" allowBlank="1" showInputMessage="1" showErrorMessage="1" sqref="K5:K12 A5:A12">
      <formula1>ActiveOptions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6"/>
  <sheetViews>
    <sheetView zoomScale="130" zoomScaleNormal="130" workbookViewId="0">
      <pane ySplit="4" topLeftCell="A5" activePane="bottomLeft" state="frozen"/>
      <selection pane="bottomLeft" activeCell="B18" sqref="B18"/>
    </sheetView>
  </sheetViews>
  <sheetFormatPr defaultRowHeight="15" x14ac:dyDescent="0.25"/>
  <cols>
    <col min="1" max="1" width="7.5703125" style="2" bestFit="1" customWidth="1"/>
    <col min="2" max="2" width="28" style="2" bestFit="1" customWidth="1"/>
    <col min="3" max="3" width="8.140625" style="2" bestFit="1" customWidth="1"/>
    <col min="4" max="4" width="10.28515625" style="2" bestFit="1" customWidth="1"/>
    <col min="5" max="5" width="6.140625" style="2" bestFit="1" customWidth="1"/>
    <col min="6" max="6" width="8.85546875" style="2" bestFit="1" customWidth="1"/>
    <col min="7" max="7" width="6.140625" style="2" bestFit="1" customWidth="1"/>
    <col min="8" max="8" width="8.85546875" style="2" bestFit="1" customWidth="1"/>
    <col min="9" max="16384" width="9.140625" style="2"/>
  </cols>
  <sheetData>
    <row r="1" spans="1:8" ht="15.75" thickBot="1" x14ac:dyDescent="0.3">
      <c r="A1" s="22" t="s">
        <v>25</v>
      </c>
      <c r="B1" s="23"/>
      <c r="C1" s="23"/>
      <c r="D1" s="23"/>
      <c r="E1" s="23"/>
      <c r="F1" s="23"/>
      <c r="G1" s="23"/>
      <c r="H1" s="23"/>
    </row>
    <row r="2" spans="1:8" ht="16.5" thickTop="1" thickBot="1" x14ac:dyDescent="0.3">
      <c r="A2" s="17" t="s">
        <v>3</v>
      </c>
      <c r="B2" s="17" t="s">
        <v>0</v>
      </c>
      <c r="C2" s="17" t="s">
        <v>1</v>
      </c>
      <c r="D2" s="17" t="s">
        <v>2</v>
      </c>
      <c r="E2" s="14" t="s">
        <v>26</v>
      </c>
      <c r="F2" s="15"/>
      <c r="G2" s="24"/>
      <c r="H2" s="21"/>
    </row>
    <row r="3" spans="1:8" ht="16.5" thickTop="1" thickBot="1" x14ac:dyDescent="0.3">
      <c r="A3" s="19"/>
      <c r="B3" s="19"/>
      <c r="C3" s="19"/>
      <c r="D3" s="19"/>
      <c r="E3" s="14" t="s">
        <v>4</v>
      </c>
      <c r="F3" s="21"/>
      <c r="G3" s="14" t="s">
        <v>6</v>
      </c>
      <c r="H3" s="21"/>
    </row>
    <row r="4" spans="1:8" ht="16.5" thickTop="1" thickBot="1" x14ac:dyDescent="0.3">
      <c r="A4" s="18"/>
      <c r="B4" s="18"/>
      <c r="C4" s="18"/>
      <c r="D4" s="18"/>
      <c r="E4" s="1" t="s">
        <v>8</v>
      </c>
      <c r="F4" s="1" t="s">
        <v>5</v>
      </c>
      <c r="G4" s="1" t="s">
        <v>8</v>
      </c>
      <c r="H4" s="1" t="s">
        <v>5</v>
      </c>
    </row>
    <row r="5" spans="1:8" customFormat="1" ht="15.75" thickTop="1" x14ac:dyDescent="0.25">
      <c r="A5" t="s">
        <v>12</v>
      </c>
      <c r="B5" t="s">
        <v>86</v>
      </c>
      <c r="C5">
        <v>3600</v>
      </c>
      <c r="D5" s="10">
        <v>1</v>
      </c>
      <c r="E5">
        <v>0</v>
      </c>
      <c r="F5" t="s">
        <v>18</v>
      </c>
      <c r="G5">
        <v>2</v>
      </c>
      <c r="H5" t="s">
        <v>18</v>
      </c>
    </row>
    <row r="6" spans="1:8" customFormat="1" x14ac:dyDescent="0.25">
      <c r="A6" t="s">
        <v>12</v>
      </c>
      <c r="B6" t="s">
        <v>79</v>
      </c>
      <c r="C6">
        <v>14000</v>
      </c>
      <c r="D6" s="11">
        <v>1</v>
      </c>
      <c r="E6">
        <v>0</v>
      </c>
      <c r="F6" t="s">
        <v>18</v>
      </c>
      <c r="H6" t="s">
        <v>20</v>
      </c>
    </row>
    <row r="7" spans="1:8" customFormat="1" x14ac:dyDescent="0.25">
      <c r="A7" t="s">
        <v>12</v>
      </c>
      <c r="B7" t="s">
        <v>81</v>
      </c>
      <c r="C7">
        <f>21000/18</f>
        <v>1166.6666666666667</v>
      </c>
      <c r="D7" s="11">
        <v>1</v>
      </c>
      <c r="E7">
        <v>0</v>
      </c>
      <c r="F7" t="s">
        <v>18</v>
      </c>
      <c r="G7">
        <v>18</v>
      </c>
      <c r="H7" t="s">
        <v>18</v>
      </c>
    </row>
    <row r="8" spans="1:8" customFormat="1" x14ac:dyDescent="0.25">
      <c r="A8" t="s">
        <v>12</v>
      </c>
      <c r="B8" t="s">
        <v>78</v>
      </c>
      <c r="C8">
        <f>Incomes!C7</f>
        <v>15500</v>
      </c>
      <c r="D8" s="11">
        <v>1</v>
      </c>
      <c r="E8">
        <v>4</v>
      </c>
      <c r="F8" t="s">
        <v>18</v>
      </c>
      <c r="G8">
        <v>3</v>
      </c>
      <c r="H8" t="s">
        <v>18</v>
      </c>
    </row>
    <row r="9" spans="1:8" customFormat="1" x14ac:dyDescent="0.25">
      <c r="A9" t="s">
        <v>12</v>
      </c>
      <c r="B9" t="s">
        <v>119</v>
      </c>
      <c r="C9">
        <f>60000/12</f>
        <v>5000</v>
      </c>
      <c r="D9" s="11">
        <v>1</v>
      </c>
      <c r="E9">
        <v>4</v>
      </c>
      <c r="F9" t="s">
        <v>18</v>
      </c>
      <c r="G9">
        <v>2.5</v>
      </c>
      <c r="H9" t="s">
        <v>19</v>
      </c>
    </row>
    <row r="10" spans="1:8" customFormat="1" x14ac:dyDescent="0.25">
      <c r="A10" t="s">
        <v>12</v>
      </c>
      <c r="B10" t="s">
        <v>120</v>
      </c>
      <c r="C10">
        <v>2500</v>
      </c>
      <c r="D10" s="11">
        <v>1</v>
      </c>
      <c r="E10">
        <f>E9+G9*12</f>
        <v>34</v>
      </c>
      <c r="F10" t="s">
        <v>18</v>
      </c>
      <c r="G10">
        <v>10</v>
      </c>
      <c r="H10" t="s">
        <v>19</v>
      </c>
    </row>
    <row r="11" spans="1:8" customFormat="1" x14ac:dyDescent="0.25">
      <c r="A11" t="s">
        <v>12</v>
      </c>
      <c r="B11" t="s">
        <v>121</v>
      </c>
      <c r="C11">
        <v>2500</v>
      </c>
      <c r="D11" s="11">
        <v>1</v>
      </c>
      <c r="E11">
        <f>E10+G10*12</f>
        <v>154</v>
      </c>
      <c r="F11" t="s">
        <v>18</v>
      </c>
      <c r="G11">
        <v>12.5</v>
      </c>
      <c r="H11" t="s">
        <v>19</v>
      </c>
    </row>
    <row r="12" spans="1:8" customFormat="1" x14ac:dyDescent="0.25">
      <c r="A12" t="s">
        <v>12</v>
      </c>
      <c r="B12" t="s">
        <v>116</v>
      </c>
      <c r="C12">
        <v>500</v>
      </c>
      <c r="D12" s="11">
        <v>1</v>
      </c>
      <c r="E12">
        <v>4</v>
      </c>
      <c r="F12" t="s">
        <v>18</v>
      </c>
      <c r="G12">
        <v>25</v>
      </c>
      <c r="H12" t="s">
        <v>19</v>
      </c>
    </row>
    <row r="13" spans="1:8" customFormat="1" x14ac:dyDescent="0.25">
      <c r="A13" t="s">
        <v>12</v>
      </c>
      <c r="B13" t="s">
        <v>87</v>
      </c>
      <c r="C13">
        <f>C8</f>
        <v>15500</v>
      </c>
      <c r="D13" s="11">
        <v>1</v>
      </c>
      <c r="E13">
        <f>E14+3</f>
        <v>37</v>
      </c>
      <c r="F13" t="s">
        <v>18</v>
      </c>
      <c r="G13">
        <v>3</v>
      </c>
      <c r="H13" t="s">
        <v>18</v>
      </c>
    </row>
    <row r="14" spans="1:8" customFormat="1" x14ac:dyDescent="0.25">
      <c r="A14" t="s">
        <v>12</v>
      </c>
      <c r="B14" t="s">
        <v>122</v>
      </c>
      <c r="C14">
        <f>60000/12</f>
        <v>5000</v>
      </c>
      <c r="D14" s="11">
        <v>1</v>
      </c>
      <c r="E14">
        <f>E9+2.5*12</f>
        <v>34</v>
      </c>
      <c r="F14" t="s">
        <v>18</v>
      </c>
      <c r="G14">
        <v>2.5</v>
      </c>
      <c r="H14" t="s">
        <v>19</v>
      </c>
    </row>
    <row r="15" spans="1:8" customFormat="1" x14ac:dyDescent="0.25">
      <c r="A15" t="s">
        <v>12</v>
      </c>
      <c r="B15" t="s">
        <v>123</v>
      </c>
      <c r="C15">
        <f>C10</f>
        <v>2500</v>
      </c>
      <c r="D15" s="11">
        <v>1</v>
      </c>
      <c r="E15">
        <f>E14+G14*12</f>
        <v>64</v>
      </c>
      <c r="F15" t="s">
        <v>18</v>
      </c>
      <c r="G15">
        <v>10</v>
      </c>
      <c r="H15" t="s">
        <v>19</v>
      </c>
    </row>
    <row r="16" spans="1:8" customFormat="1" x14ac:dyDescent="0.25">
      <c r="A16" t="s">
        <v>12</v>
      </c>
      <c r="B16" t="s">
        <v>124</v>
      </c>
      <c r="C16">
        <f>C11</f>
        <v>2500</v>
      </c>
      <c r="D16" s="11">
        <v>1</v>
      </c>
      <c r="E16">
        <f>E15+G15*12</f>
        <v>184</v>
      </c>
      <c r="F16" t="s">
        <v>18</v>
      </c>
      <c r="G16">
        <v>12.5</v>
      </c>
      <c r="H16" t="s">
        <v>19</v>
      </c>
    </row>
    <row r="17" spans="1:8" customFormat="1" x14ac:dyDescent="0.25">
      <c r="A17" t="s">
        <v>12</v>
      </c>
      <c r="B17" t="s">
        <v>117</v>
      </c>
      <c r="C17">
        <v>500</v>
      </c>
      <c r="D17" s="11">
        <v>1</v>
      </c>
      <c r="E17">
        <f>E14</f>
        <v>34</v>
      </c>
      <c r="F17" t="s">
        <v>18</v>
      </c>
      <c r="G17">
        <v>25</v>
      </c>
      <c r="H17" t="s">
        <v>19</v>
      </c>
    </row>
    <row r="18" spans="1:8" customFormat="1" x14ac:dyDescent="0.25">
      <c r="A18" t="s">
        <v>12</v>
      </c>
      <c r="B18" t="s">
        <v>88</v>
      </c>
      <c r="C18">
        <f>C13</f>
        <v>15500</v>
      </c>
      <c r="D18" s="11">
        <v>1</v>
      </c>
      <c r="E18">
        <f>E19+3</f>
        <v>67</v>
      </c>
      <c r="F18" t="s">
        <v>18</v>
      </c>
      <c r="G18">
        <v>3</v>
      </c>
      <c r="H18" t="s">
        <v>18</v>
      </c>
    </row>
    <row r="19" spans="1:8" customFormat="1" x14ac:dyDescent="0.25">
      <c r="A19" t="s">
        <v>12</v>
      </c>
      <c r="B19" t="s">
        <v>125</v>
      </c>
      <c r="C19">
        <f>60000/12</f>
        <v>5000</v>
      </c>
      <c r="D19" s="11">
        <v>1</v>
      </c>
      <c r="E19">
        <f>E14+2.5*12</f>
        <v>64</v>
      </c>
      <c r="F19" t="s">
        <v>18</v>
      </c>
      <c r="G19">
        <v>2.5</v>
      </c>
      <c r="H19" t="s">
        <v>19</v>
      </c>
    </row>
    <row r="20" spans="1:8" customFormat="1" x14ac:dyDescent="0.25">
      <c r="A20" t="s">
        <v>12</v>
      </c>
      <c r="B20" t="s">
        <v>126</v>
      </c>
      <c r="C20">
        <f>C15</f>
        <v>2500</v>
      </c>
      <c r="D20" s="11">
        <v>1</v>
      </c>
      <c r="E20">
        <f>E19+G19*12</f>
        <v>94</v>
      </c>
      <c r="F20" t="s">
        <v>18</v>
      </c>
      <c r="G20">
        <v>10</v>
      </c>
      <c r="H20" t="s">
        <v>19</v>
      </c>
    </row>
    <row r="21" spans="1:8" customFormat="1" x14ac:dyDescent="0.25">
      <c r="A21" t="s">
        <v>12</v>
      </c>
      <c r="B21" t="s">
        <v>127</v>
      </c>
      <c r="C21">
        <f>C16</f>
        <v>2500</v>
      </c>
      <c r="D21" s="11">
        <v>1</v>
      </c>
      <c r="E21">
        <f>E20+G20*12</f>
        <v>214</v>
      </c>
      <c r="F21" t="s">
        <v>18</v>
      </c>
      <c r="G21">
        <v>12.5</v>
      </c>
      <c r="H21" t="s">
        <v>19</v>
      </c>
    </row>
    <row r="22" spans="1:8" customFormat="1" x14ac:dyDescent="0.25">
      <c r="A22" t="s">
        <v>12</v>
      </c>
      <c r="B22" t="s">
        <v>118</v>
      </c>
      <c r="C22">
        <v>500</v>
      </c>
      <c r="D22" s="11">
        <v>1</v>
      </c>
      <c r="E22">
        <f>E19</f>
        <v>64</v>
      </c>
      <c r="F22" t="s">
        <v>18</v>
      </c>
      <c r="G22">
        <v>25</v>
      </c>
      <c r="H22" t="s">
        <v>19</v>
      </c>
    </row>
    <row r="23" spans="1:8" customFormat="1" x14ac:dyDescent="0.25">
      <c r="A23" t="s">
        <v>12</v>
      </c>
      <c r="B23" t="s">
        <v>82</v>
      </c>
      <c r="C23">
        <v>50000</v>
      </c>
      <c r="D23" s="11">
        <f>5*12</f>
        <v>60</v>
      </c>
      <c r="E23">
        <v>0</v>
      </c>
      <c r="F23" t="s">
        <v>18</v>
      </c>
      <c r="G23">
        <v>1</v>
      </c>
      <c r="H23" t="s">
        <v>18</v>
      </c>
    </row>
    <row r="24" spans="1:8" customFormat="1" x14ac:dyDescent="0.25">
      <c r="A24" t="s">
        <v>12</v>
      </c>
      <c r="B24" t="s">
        <v>130</v>
      </c>
      <c r="C24">
        <f>Personal!D2+Personal!D3+Personal!D6</f>
        <v>68575</v>
      </c>
      <c r="D24" s="11"/>
      <c r="E24">
        <v>0</v>
      </c>
      <c r="F24" t="s">
        <v>18</v>
      </c>
      <c r="G24">
        <v>1</v>
      </c>
      <c r="H24" t="s">
        <v>18</v>
      </c>
    </row>
    <row r="25" spans="1:8" customFormat="1" x14ac:dyDescent="0.25">
      <c r="A25" t="s">
        <v>12</v>
      </c>
      <c r="B25" t="s">
        <v>84</v>
      </c>
      <c r="C25">
        <v>6000</v>
      </c>
      <c r="D25" s="11">
        <v>1</v>
      </c>
      <c r="E25">
        <v>0</v>
      </c>
      <c r="F25" t="s">
        <v>18</v>
      </c>
      <c r="G25">
        <v>17</v>
      </c>
      <c r="H25" t="s">
        <v>19</v>
      </c>
    </row>
    <row r="26" spans="1:8" customFormat="1" x14ac:dyDescent="0.25">
      <c r="D26" s="9"/>
    </row>
  </sheetData>
  <mergeCells count="8">
    <mergeCell ref="E3:F3"/>
    <mergeCell ref="G3:H3"/>
    <mergeCell ref="A1:H1"/>
    <mergeCell ref="E2:H2"/>
    <mergeCell ref="D2:D4"/>
    <mergeCell ref="C2:C4"/>
    <mergeCell ref="B2:B4"/>
    <mergeCell ref="A2:A4"/>
  </mergeCells>
  <dataValidations count="3">
    <dataValidation type="list" allowBlank="1" showInputMessage="1" showErrorMessage="1" sqref="D26">
      <formula1>RaiseFrequencyOptions</formula1>
    </dataValidation>
    <dataValidation type="list" allowBlank="1" showInputMessage="1" showErrorMessage="1" sqref="A5:A26">
      <formula1>ActiveOptions</formula1>
    </dataValidation>
    <dataValidation type="list" allowBlank="1" showInputMessage="1" showErrorMessage="1" sqref="H5:H26 F5:F26">
      <formula1>DateUnitsOptions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"/>
  <sheetViews>
    <sheetView zoomScale="145" zoomScaleNormal="145" workbookViewId="0">
      <pane ySplit="4" topLeftCell="A5" activePane="bottomLeft" state="frozen"/>
      <selection pane="bottomLeft" activeCell="O17" sqref="O17"/>
    </sheetView>
  </sheetViews>
  <sheetFormatPr defaultRowHeight="15" x14ac:dyDescent="0.25"/>
  <cols>
    <col min="1" max="1" width="7.5703125" style="2" bestFit="1" customWidth="1"/>
    <col min="2" max="2" width="16.42578125" style="2" bestFit="1" customWidth="1"/>
    <col min="3" max="3" width="8.5703125" style="2" bestFit="1" customWidth="1"/>
    <col min="4" max="4" width="6.140625" style="2" bestFit="1" customWidth="1"/>
    <col min="5" max="5" width="8.85546875" style="2" bestFit="1" customWidth="1"/>
    <col min="6" max="7" width="6.140625" style="2" bestFit="1" customWidth="1"/>
    <col min="8" max="8" width="6.5703125" style="2" bestFit="1" customWidth="1"/>
    <col min="9" max="9" width="6.140625" style="2" bestFit="1" customWidth="1"/>
    <col min="10" max="10" width="15.42578125" style="2" bestFit="1" customWidth="1"/>
    <col min="11" max="11" width="10.28515625" style="2" bestFit="1" customWidth="1"/>
    <col min="12" max="12" width="6.140625" style="2" bestFit="1" customWidth="1"/>
    <col min="13" max="13" width="15.42578125" style="2" bestFit="1" customWidth="1"/>
    <col min="14" max="14" width="10.28515625" style="2" bestFit="1" customWidth="1"/>
    <col min="15" max="15" width="6.140625" style="2" bestFit="1" customWidth="1"/>
    <col min="16" max="16" width="8.85546875" style="2" bestFit="1" customWidth="1"/>
    <col min="17" max="17" width="9.140625" style="2"/>
    <col min="18" max="18" width="15.140625" style="2" bestFit="1" customWidth="1"/>
    <col min="19" max="19" width="94.140625" style="2" bestFit="1" customWidth="1"/>
    <col min="20" max="20" width="30.5703125" style="2" bestFit="1" customWidth="1"/>
    <col min="21" max="16384" width="9.140625" style="2"/>
  </cols>
  <sheetData>
    <row r="1" spans="1:19" ht="16.5" thickTop="1" thickBot="1" x14ac:dyDescent="0.3">
      <c r="A1" s="20" t="s">
        <v>29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9" ht="25.5" customHeight="1" thickTop="1" thickBot="1" x14ac:dyDescent="0.3">
      <c r="A2" s="20" t="s">
        <v>3</v>
      </c>
      <c r="B2" s="20" t="s">
        <v>0</v>
      </c>
      <c r="C2" s="20" t="s">
        <v>30</v>
      </c>
      <c r="D2" s="20"/>
      <c r="E2" s="20"/>
      <c r="F2" s="20" t="s">
        <v>32</v>
      </c>
      <c r="G2" s="20"/>
      <c r="H2" s="20"/>
      <c r="I2" s="25" t="s">
        <v>33</v>
      </c>
      <c r="J2" s="20"/>
      <c r="K2" s="20"/>
      <c r="L2" s="25" t="s">
        <v>34</v>
      </c>
      <c r="M2" s="20"/>
      <c r="N2" s="20"/>
      <c r="O2" s="20"/>
      <c r="P2" s="20"/>
      <c r="R2" s="5" t="s">
        <v>38</v>
      </c>
      <c r="S2" s="4" t="s">
        <v>40</v>
      </c>
    </row>
    <row r="3" spans="1:19" ht="16.5" thickTop="1" thickBot="1" x14ac:dyDescent="0.3">
      <c r="A3" s="20"/>
      <c r="B3" s="20"/>
      <c r="C3" s="26" t="s">
        <v>37</v>
      </c>
      <c r="D3" s="20" t="s">
        <v>31</v>
      </c>
      <c r="E3" s="20"/>
      <c r="F3" s="25" t="s">
        <v>8</v>
      </c>
      <c r="G3" s="20" t="s">
        <v>31</v>
      </c>
      <c r="H3" s="20"/>
      <c r="I3" s="20" t="s">
        <v>8</v>
      </c>
      <c r="J3" s="20" t="s">
        <v>5</v>
      </c>
      <c r="K3" s="20" t="s">
        <v>2</v>
      </c>
      <c r="L3" s="20" t="s">
        <v>8</v>
      </c>
      <c r="M3" s="20" t="s">
        <v>35</v>
      </c>
      <c r="N3" s="20" t="s">
        <v>2</v>
      </c>
      <c r="O3" s="25" t="s">
        <v>36</v>
      </c>
      <c r="P3" s="20"/>
      <c r="R3" s="5" t="s">
        <v>39</v>
      </c>
      <c r="S3" s="4" t="s">
        <v>41</v>
      </c>
    </row>
    <row r="4" spans="1:19" ht="16.5" thickTop="1" thickBot="1" x14ac:dyDescent="0.3">
      <c r="A4" s="20"/>
      <c r="B4" s="20"/>
      <c r="C4" s="27"/>
      <c r="D4" s="1" t="s">
        <v>8</v>
      </c>
      <c r="E4" s="1" t="s">
        <v>5</v>
      </c>
      <c r="F4" s="25"/>
      <c r="G4" s="1" t="s">
        <v>8</v>
      </c>
      <c r="H4" s="1" t="s">
        <v>5</v>
      </c>
      <c r="I4" s="20"/>
      <c r="J4" s="20"/>
      <c r="K4" s="20"/>
      <c r="L4" s="20"/>
      <c r="M4" s="20"/>
      <c r="N4" s="20"/>
      <c r="O4" s="1" t="s">
        <v>8</v>
      </c>
      <c r="P4" s="1" t="s">
        <v>5</v>
      </c>
      <c r="R4" s="5" t="s">
        <v>33</v>
      </c>
      <c r="S4" s="4" t="s">
        <v>42</v>
      </c>
    </row>
    <row r="5" spans="1:19" ht="15.75" thickTop="1" x14ac:dyDescent="0.25">
      <c r="A5" t="s">
        <v>13</v>
      </c>
      <c r="B5" t="s">
        <v>74</v>
      </c>
      <c r="C5">
        <v>1700000</v>
      </c>
      <c r="D5">
        <v>2</v>
      </c>
      <c r="E5" t="s">
        <v>18</v>
      </c>
      <c r="F5"/>
      <c r="G5"/>
      <c r="H5" t="s">
        <v>20</v>
      </c>
      <c r="I5">
        <v>5</v>
      </c>
      <c r="J5" t="s">
        <v>45</v>
      </c>
      <c r="K5" t="s">
        <v>16</v>
      </c>
      <c r="L5">
        <v>0</v>
      </c>
      <c r="M5" t="s">
        <v>45</v>
      </c>
      <c r="N5">
        <v>1</v>
      </c>
      <c r="O5">
        <v>0</v>
      </c>
      <c r="P5" t="s">
        <v>18</v>
      </c>
      <c r="R5" s="5" t="s">
        <v>34</v>
      </c>
      <c r="S5" s="4" t="s">
        <v>43</v>
      </c>
    </row>
    <row r="6" spans="1:19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9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9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</row>
    <row r="9" spans="1:19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</row>
    <row r="10" spans="1:19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</row>
    <row r="11" spans="1:19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</sheetData>
  <mergeCells count="18">
    <mergeCell ref="O3:P3"/>
    <mergeCell ref="G3:H3"/>
    <mergeCell ref="D3:E3"/>
    <mergeCell ref="B2:B4"/>
    <mergeCell ref="A2:A4"/>
    <mergeCell ref="N3:N4"/>
    <mergeCell ref="C3:C4"/>
    <mergeCell ref="F3:F4"/>
    <mergeCell ref="I3:I4"/>
    <mergeCell ref="J3:J4"/>
    <mergeCell ref="K3:K4"/>
    <mergeCell ref="L3:L4"/>
    <mergeCell ref="M3:M4"/>
    <mergeCell ref="A1:P1"/>
    <mergeCell ref="C2:E2"/>
    <mergeCell ref="F2:H2"/>
    <mergeCell ref="I2:K2"/>
    <mergeCell ref="L2:P2"/>
  </mergeCells>
  <dataValidations count="4">
    <dataValidation type="list" allowBlank="1" showInputMessage="1" showErrorMessage="1" sqref="A5">
      <formula1>ActiveOptions</formula1>
    </dataValidation>
    <dataValidation type="list" allowBlank="1" showInputMessage="1" showErrorMessage="1" sqref="E5 H5 P5">
      <formula1>DateUnitsOptions</formula1>
    </dataValidation>
    <dataValidation type="list" allowBlank="1" showInputMessage="1" showErrorMessage="1" sqref="K5">
      <formula1>FrequencyOptions</formula1>
    </dataValidation>
    <dataValidation type="list" allowBlank="1" showInputMessage="1" showErrorMessage="1" sqref="J5 M5">
      <formula1>AssetGentrificationUnits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zoomScale="115" zoomScaleNormal="115" workbookViewId="0">
      <selection activeCell="C5" sqref="C5"/>
    </sheetView>
  </sheetViews>
  <sheetFormatPr defaultRowHeight="15" x14ac:dyDescent="0.25"/>
  <cols>
    <col min="1" max="1" width="7.5703125" style="2" bestFit="1" customWidth="1"/>
    <col min="2" max="2" width="17.5703125" style="2" bestFit="1" customWidth="1"/>
    <col min="3" max="3" width="9" style="2" bestFit="1" customWidth="1"/>
    <col min="4" max="4" width="6.140625" style="2" bestFit="1" customWidth="1"/>
    <col min="5" max="5" width="8.85546875" style="2" bestFit="1" customWidth="1"/>
    <col min="6" max="6" width="6.140625" style="2" bestFit="1" customWidth="1"/>
    <col min="7" max="7" width="6.5703125" style="2" bestFit="1" customWidth="1"/>
    <col min="8" max="9" width="15.7109375" style="2" bestFit="1" customWidth="1"/>
    <col min="10" max="10" width="19.140625" style="2" bestFit="1" customWidth="1"/>
    <col min="11" max="16384" width="9.140625" style="2"/>
  </cols>
  <sheetData>
    <row r="1" spans="1:10" ht="16.5" thickTop="1" thickBot="1" x14ac:dyDescent="0.3">
      <c r="A1" s="20" t="s">
        <v>46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ht="16.5" thickTop="1" thickBot="1" x14ac:dyDescent="0.3">
      <c r="A2" s="20" t="s">
        <v>3</v>
      </c>
      <c r="B2" s="20" t="s">
        <v>0</v>
      </c>
      <c r="C2" s="20" t="s">
        <v>1</v>
      </c>
      <c r="D2" s="20" t="s">
        <v>26</v>
      </c>
      <c r="E2" s="20"/>
      <c r="F2" s="20"/>
      <c r="G2" s="20"/>
      <c r="H2" s="1" t="s">
        <v>50</v>
      </c>
      <c r="I2" s="20" t="s">
        <v>48</v>
      </c>
      <c r="J2" s="20"/>
    </row>
    <row r="3" spans="1:10" ht="16.5" thickTop="1" thickBot="1" x14ac:dyDescent="0.3">
      <c r="A3" s="20"/>
      <c r="B3" s="20"/>
      <c r="C3" s="20"/>
      <c r="D3" s="20" t="s">
        <v>47</v>
      </c>
      <c r="E3" s="20"/>
      <c r="F3" s="20" t="s">
        <v>6</v>
      </c>
      <c r="G3" s="20"/>
      <c r="H3" s="20" t="s">
        <v>49</v>
      </c>
      <c r="I3" s="20" t="s">
        <v>49</v>
      </c>
      <c r="J3" s="20" t="s">
        <v>51</v>
      </c>
    </row>
    <row r="4" spans="1:10" ht="16.5" thickTop="1" thickBot="1" x14ac:dyDescent="0.3">
      <c r="A4" s="20"/>
      <c r="B4" s="20"/>
      <c r="C4" s="20"/>
      <c r="D4" s="1" t="s">
        <v>8</v>
      </c>
      <c r="E4" s="1" t="s">
        <v>5</v>
      </c>
      <c r="F4" s="1" t="s">
        <v>8</v>
      </c>
      <c r="G4" s="1" t="s">
        <v>5</v>
      </c>
      <c r="H4" s="20"/>
      <c r="I4" s="20"/>
      <c r="J4" s="20"/>
    </row>
    <row r="5" spans="1:10" ht="15" customHeight="1" thickTop="1" x14ac:dyDescent="0.25">
      <c r="A5" t="s">
        <v>13</v>
      </c>
      <c r="B5" t="s">
        <v>75</v>
      </c>
      <c r="C5">
        <f>0.6*Assets!C5</f>
        <v>1020000</v>
      </c>
      <c r="D5">
        <v>2</v>
      </c>
      <c r="E5" t="s">
        <v>18</v>
      </c>
      <c r="F5">
        <v>16</v>
      </c>
      <c r="G5" t="s">
        <v>19</v>
      </c>
      <c r="H5" t="s">
        <v>13</v>
      </c>
      <c r="I5" t="s">
        <v>13</v>
      </c>
      <c r="J5">
        <v>3</v>
      </c>
    </row>
    <row r="6" spans="1:10" s="9" customFormat="1" ht="15" customHeight="1" x14ac:dyDescent="0.25">
      <c r="A6"/>
      <c r="B6"/>
      <c r="C6"/>
      <c r="D6"/>
      <c r="E6"/>
      <c r="F6"/>
      <c r="G6"/>
      <c r="H6"/>
      <c r="I6"/>
      <c r="J6"/>
    </row>
    <row r="7" spans="1:10" x14ac:dyDescent="0.25">
      <c r="A7"/>
      <c r="B7"/>
      <c r="C7"/>
      <c r="D7"/>
      <c r="E7"/>
      <c r="F7"/>
      <c r="G7"/>
      <c r="H7"/>
      <c r="I7"/>
      <c r="J7"/>
    </row>
    <row r="8" spans="1:10" x14ac:dyDescent="0.25">
      <c r="A8"/>
      <c r="B8"/>
      <c r="C8"/>
      <c r="D8"/>
      <c r="E8"/>
      <c r="F8"/>
      <c r="G8"/>
      <c r="H8"/>
      <c r="I8"/>
      <c r="J8"/>
    </row>
    <row r="9" spans="1:10" x14ac:dyDescent="0.25">
      <c r="A9"/>
      <c r="B9"/>
      <c r="C9"/>
      <c r="D9"/>
      <c r="E9"/>
      <c r="F9"/>
      <c r="G9"/>
      <c r="H9"/>
      <c r="I9"/>
      <c r="J9"/>
    </row>
    <row r="10" spans="1:10" x14ac:dyDescent="0.25">
      <c r="A10"/>
      <c r="B10"/>
      <c r="C10"/>
      <c r="D10"/>
      <c r="E10"/>
      <c r="F10"/>
      <c r="G10"/>
      <c r="H10"/>
      <c r="I10"/>
      <c r="J10"/>
    </row>
    <row r="11" spans="1:10" x14ac:dyDescent="0.25">
      <c r="A11"/>
      <c r="B11"/>
      <c r="C11"/>
      <c r="D11"/>
      <c r="E11"/>
      <c r="F11"/>
      <c r="G11"/>
      <c r="H11"/>
      <c r="I11"/>
      <c r="J11"/>
    </row>
    <row r="12" spans="1:10" x14ac:dyDescent="0.25">
      <c r="A12"/>
      <c r="B12"/>
      <c r="C12"/>
      <c r="D12"/>
      <c r="E12"/>
      <c r="F12"/>
      <c r="G12"/>
      <c r="H12"/>
      <c r="I12"/>
      <c r="J12"/>
    </row>
    <row r="13" spans="1:10" x14ac:dyDescent="0.25">
      <c r="A13"/>
      <c r="B13"/>
      <c r="C13"/>
      <c r="D13"/>
      <c r="E13"/>
      <c r="F13"/>
      <c r="G13"/>
      <c r="H13"/>
      <c r="I13"/>
      <c r="J13"/>
    </row>
    <row r="14" spans="1:10" x14ac:dyDescent="0.25">
      <c r="A14"/>
      <c r="B14"/>
      <c r="C14"/>
      <c r="D14"/>
      <c r="E14"/>
      <c r="F14"/>
      <c r="G14"/>
      <c r="H14"/>
      <c r="I14"/>
      <c r="J14"/>
    </row>
    <row r="15" spans="1:10" x14ac:dyDescent="0.25">
      <c r="A15"/>
      <c r="B15"/>
      <c r="C15"/>
      <c r="D15"/>
      <c r="E15"/>
      <c r="F15"/>
      <c r="G15"/>
      <c r="H15"/>
      <c r="I15"/>
      <c r="J15"/>
    </row>
    <row r="16" spans="1:10" x14ac:dyDescent="0.25">
      <c r="A16"/>
      <c r="B16"/>
      <c r="C16"/>
      <c r="D16"/>
      <c r="E16"/>
      <c r="F16"/>
      <c r="G16"/>
      <c r="H16"/>
      <c r="I16"/>
      <c r="J16"/>
    </row>
    <row r="17" spans="1:10" x14ac:dyDescent="0.25">
      <c r="A17"/>
      <c r="B17"/>
      <c r="C17"/>
      <c r="D17"/>
      <c r="E17"/>
      <c r="F17"/>
      <c r="G17"/>
      <c r="H17"/>
      <c r="I17"/>
      <c r="J17"/>
    </row>
    <row r="18" spans="1:10" x14ac:dyDescent="0.25">
      <c r="A18"/>
      <c r="B18"/>
      <c r="C18"/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x14ac:dyDescent="0.25">
      <c r="A21"/>
      <c r="B21"/>
      <c r="C21"/>
      <c r="D21"/>
      <c r="E21"/>
      <c r="F21"/>
      <c r="G21"/>
      <c r="H21"/>
      <c r="I21"/>
      <c r="J21"/>
    </row>
    <row r="22" spans="1:10" x14ac:dyDescent="0.25">
      <c r="A22"/>
      <c r="B22"/>
      <c r="C22"/>
      <c r="D22"/>
      <c r="E22"/>
      <c r="F22"/>
      <c r="G22"/>
      <c r="H22"/>
      <c r="I22"/>
      <c r="J22"/>
    </row>
  </sheetData>
  <mergeCells count="11">
    <mergeCell ref="J3:J4"/>
    <mergeCell ref="A1:J1"/>
    <mergeCell ref="D2:G2"/>
    <mergeCell ref="D3:E3"/>
    <mergeCell ref="F3:G3"/>
    <mergeCell ref="I2:J2"/>
    <mergeCell ref="C2:C4"/>
    <mergeCell ref="B2:B4"/>
    <mergeCell ref="A2:A4"/>
    <mergeCell ref="H3:H4"/>
    <mergeCell ref="I3:I4"/>
  </mergeCells>
  <dataValidations count="2">
    <dataValidation type="list" allowBlank="1" showInputMessage="1" showErrorMessage="1" sqref="A5:A7 H5:I7">
      <formula1>ActiveOptions</formula1>
    </dataValidation>
    <dataValidation type="list" allowBlank="1" showInputMessage="1" showErrorMessage="1" sqref="E5:E7 G5:G7">
      <formula1>DateUnitsOptions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8"/>
  <sheetViews>
    <sheetView zoomScale="115" zoomScaleNormal="115" workbookViewId="0">
      <selection activeCell="G33" sqref="G33"/>
    </sheetView>
  </sheetViews>
  <sheetFormatPr defaultRowHeight="15" x14ac:dyDescent="0.25"/>
  <cols>
    <col min="1" max="1" width="10.28515625" style="2" bestFit="1" customWidth="1"/>
    <col min="2" max="2" width="18.28515625" style="2" bestFit="1" customWidth="1"/>
    <col min="3" max="3" width="16.42578125" style="2" bestFit="1" customWidth="1"/>
    <col min="4" max="4" width="8.28515625" style="2" bestFit="1" customWidth="1"/>
    <col min="5" max="5" width="21.5703125" style="2" bestFit="1" customWidth="1"/>
    <col min="6" max="6" width="13.85546875" style="2" bestFit="1" customWidth="1"/>
    <col min="7" max="7" width="18.7109375" style="2" bestFit="1" customWidth="1"/>
    <col min="8" max="12" width="8.28515625" style="2" bestFit="1" customWidth="1"/>
    <col min="13" max="13" width="21.5703125" style="2" bestFit="1" customWidth="1"/>
    <col min="14" max="14" width="13.85546875" style="2" bestFit="1" customWidth="1"/>
    <col min="15" max="15" width="20.5703125" style="2" bestFit="1" customWidth="1"/>
    <col min="16" max="16384" width="9.140625" style="2"/>
  </cols>
  <sheetData>
    <row r="1" spans="1:15" ht="16.5" thickTop="1" thickBot="1" x14ac:dyDescent="0.3">
      <c r="A1" s="20" t="s">
        <v>52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</row>
    <row r="2" spans="1:15" ht="16.5" thickTop="1" thickBot="1" x14ac:dyDescent="0.3">
      <c r="A2" s="20" t="s">
        <v>3</v>
      </c>
      <c r="B2" s="20" t="s">
        <v>0</v>
      </c>
      <c r="C2" s="20" t="s">
        <v>53</v>
      </c>
      <c r="D2" s="20" t="s">
        <v>54</v>
      </c>
      <c r="E2" s="20"/>
      <c r="F2" s="20"/>
      <c r="G2" s="25" t="s">
        <v>56</v>
      </c>
      <c r="H2" s="20" t="s">
        <v>26</v>
      </c>
      <c r="I2" s="20"/>
      <c r="J2" s="20"/>
      <c r="K2" s="20"/>
      <c r="L2" s="20" t="s">
        <v>48</v>
      </c>
      <c r="M2" s="20"/>
      <c r="N2" s="20"/>
      <c r="O2" s="20"/>
    </row>
    <row r="3" spans="1:15" ht="16.5" thickTop="1" thickBot="1" x14ac:dyDescent="0.3">
      <c r="A3" s="20"/>
      <c r="B3" s="20"/>
      <c r="C3" s="20"/>
      <c r="D3" s="20" t="s">
        <v>8</v>
      </c>
      <c r="E3" s="20" t="s">
        <v>5</v>
      </c>
      <c r="F3" s="20" t="s">
        <v>2</v>
      </c>
      <c r="G3" s="20"/>
      <c r="H3" s="1" t="s">
        <v>47</v>
      </c>
      <c r="I3" s="1"/>
      <c r="J3" s="1" t="s">
        <v>55</v>
      </c>
      <c r="K3" s="1"/>
      <c r="L3" s="20" t="s">
        <v>8</v>
      </c>
      <c r="M3" s="20" t="s">
        <v>5</v>
      </c>
      <c r="N3" s="20" t="s">
        <v>2</v>
      </c>
      <c r="O3" s="20" t="s">
        <v>49</v>
      </c>
    </row>
    <row r="4" spans="1:15" ht="16.5" thickTop="1" thickBot="1" x14ac:dyDescent="0.3">
      <c r="A4" s="20"/>
      <c r="B4" s="20"/>
      <c r="C4" s="20"/>
      <c r="D4" s="20"/>
      <c r="E4" s="20"/>
      <c r="F4" s="20"/>
      <c r="G4" s="20"/>
      <c r="H4" s="1" t="s">
        <v>8</v>
      </c>
      <c r="I4" s="1" t="s">
        <v>5</v>
      </c>
      <c r="J4" s="1" t="s">
        <v>8</v>
      </c>
      <c r="K4" s="1" t="s">
        <v>5</v>
      </c>
      <c r="L4" s="20"/>
      <c r="M4" s="20"/>
      <c r="N4" s="20"/>
      <c r="O4" s="20"/>
    </row>
    <row r="5" spans="1:15" ht="15.75" thickTop="1" x14ac:dyDescent="0.25">
      <c r="A5" s="3" t="s">
        <v>13</v>
      </c>
      <c r="B5" s="2" t="s">
        <v>80</v>
      </c>
      <c r="C5" s="2">
        <v>0</v>
      </c>
      <c r="D5" s="2">
        <v>0</v>
      </c>
      <c r="E5" s="3" t="s">
        <v>57</v>
      </c>
      <c r="F5" s="3">
        <v>12</v>
      </c>
      <c r="G5" s="2">
        <v>1000</v>
      </c>
      <c r="H5" s="2">
        <v>1</v>
      </c>
      <c r="I5" s="3" t="s">
        <v>18</v>
      </c>
      <c r="K5" s="3" t="s">
        <v>20</v>
      </c>
      <c r="L5" s="2">
        <v>0</v>
      </c>
      <c r="M5" s="3" t="s">
        <v>57</v>
      </c>
      <c r="N5" s="3">
        <v>12</v>
      </c>
      <c r="O5" s="3" t="s">
        <v>12</v>
      </c>
    </row>
    <row r="6" spans="1:15" s="11" customFormat="1" x14ac:dyDescent="0.25">
      <c r="A6" s="3" t="s">
        <v>13</v>
      </c>
      <c r="B6" s="11" t="s">
        <v>85</v>
      </c>
      <c r="C6" s="11">
        <v>0</v>
      </c>
      <c r="D6" s="11">
        <v>0</v>
      </c>
      <c r="E6" s="3" t="s">
        <v>57</v>
      </c>
      <c r="F6" s="3">
        <v>12</v>
      </c>
      <c r="G6" s="11">
        <v>500</v>
      </c>
      <c r="H6" s="11">
        <v>4</v>
      </c>
      <c r="I6" s="3" t="s">
        <v>18</v>
      </c>
      <c r="K6" s="3" t="s">
        <v>20</v>
      </c>
      <c r="L6" s="11">
        <v>0</v>
      </c>
      <c r="M6" s="3" t="s">
        <v>57</v>
      </c>
      <c r="N6" s="3">
        <v>12</v>
      </c>
      <c r="O6" s="3" t="s">
        <v>12</v>
      </c>
    </row>
    <row r="7" spans="1:15" s="11" customFormat="1" x14ac:dyDescent="0.25">
      <c r="A7" s="3" t="s">
        <v>13</v>
      </c>
      <c r="B7" s="11" t="s">
        <v>89</v>
      </c>
      <c r="C7" s="11">
        <v>0</v>
      </c>
      <c r="D7" s="11">
        <v>0</v>
      </c>
      <c r="E7" s="3" t="s">
        <v>57</v>
      </c>
      <c r="F7" s="3">
        <v>12</v>
      </c>
      <c r="G7" s="11">
        <v>500</v>
      </c>
      <c r="H7" s="11">
        <v>3</v>
      </c>
      <c r="I7" s="3" t="s">
        <v>19</v>
      </c>
      <c r="K7" s="3" t="s">
        <v>20</v>
      </c>
      <c r="L7" s="11">
        <v>0</v>
      </c>
      <c r="M7" s="3" t="s">
        <v>57</v>
      </c>
      <c r="N7" s="3">
        <v>12</v>
      </c>
      <c r="O7" s="3" t="s">
        <v>12</v>
      </c>
    </row>
    <row r="8" spans="1:15" s="11" customFormat="1" x14ac:dyDescent="0.25">
      <c r="A8" s="3" t="s">
        <v>13</v>
      </c>
      <c r="B8" s="11" t="s">
        <v>90</v>
      </c>
      <c r="C8" s="11">
        <v>0</v>
      </c>
      <c r="D8" s="11">
        <v>0</v>
      </c>
      <c r="E8" s="3" t="s">
        <v>57</v>
      </c>
      <c r="F8" s="3">
        <v>12</v>
      </c>
      <c r="G8" s="11">
        <v>500</v>
      </c>
      <c r="H8" s="11">
        <v>6</v>
      </c>
      <c r="I8" s="3" t="s">
        <v>19</v>
      </c>
      <c r="K8" s="3" t="s">
        <v>20</v>
      </c>
      <c r="L8" s="11">
        <v>0</v>
      </c>
      <c r="M8" s="3" t="s">
        <v>57</v>
      </c>
      <c r="N8" s="3">
        <v>12</v>
      </c>
      <c r="O8" s="3" t="s">
        <v>12</v>
      </c>
    </row>
  </sheetData>
  <mergeCells count="15">
    <mergeCell ref="A1:O1"/>
    <mergeCell ref="G2:G4"/>
    <mergeCell ref="L3:L4"/>
    <mergeCell ref="M3:M4"/>
    <mergeCell ref="N3:N4"/>
    <mergeCell ref="A2:A4"/>
    <mergeCell ref="O3:O4"/>
    <mergeCell ref="F3:F4"/>
    <mergeCell ref="E3:E4"/>
    <mergeCell ref="D3:D4"/>
    <mergeCell ref="C2:C4"/>
    <mergeCell ref="B2:B4"/>
    <mergeCell ref="D2:F2"/>
    <mergeCell ref="H2:K2"/>
    <mergeCell ref="L2:O2"/>
  </mergeCells>
  <dataValidations count="3">
    <dataValidation type="list" allowBlank="1" showInputMessage="1" showErrorMessage="1" sqref="O5:O8 A5:A8">
      <formula1>ActiveOptions</formula1>
    </dataValidation>
    <dataValidation type="list" allowBlank="1" showInputMessage="1" showErrorMessage="1" sqref="M5:M8 E5:E8">
      <formula1>AssetGentrificationUnits</formula1>
    </dataValidation>
    <dataValidation type="list" allowBlank="1" showInputMessage="1" showErrorMessage="1" sqref="K5:K8 I5:I8">
      <formula1>DateUnitsOptions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G26" sqref="G26"/>
    </sheetView>
  </sheetViews>
  <sheetFormatPr defaultRowHeight="15" x14ac:dyDescent="0.25"/>
  <cols>
    <col min="1" max="1" width="14.140625" bestFit="1" customWidth="1"/>
    <col min="2" max="2" width="17.5703125" bestFit="1" customWidth="1"/>
    <col min="3" max="3" width="16.85546875" bestFit="1" customWidth="1"/>
    <col min="4" max="4" width="21.7109375" bestFit="1" customWidth="1"/>
    <col min="5" max="5" width="23.140625" bestFit="1" customWidth="1"/>
    <col min="6" max="6" width="22.42578125" bestFit="1" customWidth="1"/>
  </cols>
  <sheetData>
    <row r="1" spans="1:6" x14ac:dyDescent="0.25">
      <c r="A1" t="s">
        <v>11</v>
      </c>
      <c r="B1" t="s">
        <v>14</v>
      </c>
      <c r="C1" t="s">
        <v>17</v>
      </c>
      <c r="D1" t="s">
        <v>23</v>
      </c>
      <c r="E1" t="s">
        <v>44</v>
      </c>
      <c r="F1" t="s">
        <v>71</v>
      </c>
    </row>
    <row r="2" spans="1:6" x14ac:dyDescent="0.25">
      <c r="A2" t="s">
        <v>12</v>
      </c>
      <c r="B2" t="s">
        <v>15</v>
      </c>
      <c r="C2" t="s">
        <v>18</v>
      </c>
      <c r="D2" t="s">
        <v>21</v>
      </c>
      <c r="E2" t="s">
        <v>57</v>
      </c>
      <c r="F2" t="s">
        <v>15</v>
      </c>
    </row>
    <row r="3" spans="1:6" x14ac:dyDescent="0.25">
      <c r="A3" t="s">
        <v>13</v>
      </c>
      <c r="B3" t="s">
        <v>16</v>
      </c>
      <c r="C3" t="s">
        <v>19</v>
      </c>
      <c r="D3" t="s">
        <v>22</v>
      </c>
      <c r="E3" t="s">
        <v>22</v>
      </c>
      <c r="F3" t="s">
        <v>16</v>
      </c>
    </row>
    <row r="4" spans="1:6" x14ac:dyDescent="0.25">
      <c r="C4" t="s">
        <v>20</v>
      </c>
      <c r="F4" t="s">
        <v>72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MatlabDayfiletool">
                <anchor moveWithCells="1" sizeWithCells="1">
                  <from>
                    <xdr:col>0</xdr:col>
                    <xdr:colOff>0</xdr:colOff>
                    <xdr:row>4</xdr:row>
                    <xdr:rowOff>9525</xdr:rowOff>
                  </from>
                  <to>
                    <xdr:col>1</xdr:col>
                    <xdr:colOff>771525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zoomScale="130" zoomScaleNormal="130" workbookViewId="0">
      <selection activeCell="D9" sqref="D9"/>
    </sheetView>
  </sheetViews>
  <sheetFormatPr defaultColWidth="7.42578125" defaultRowHeight="15" x14ac:dyDescent="0.25"/>
  <cols>
    <col min="1" max="1" width="7.5703125" bestFit="1" customWidth="1"/>
    <col min="3" max="3" width="10.140625" bestFit="1" customWidth="1"/>
    <col min="4" max="4" width="8.7109375" bestFit="1" customWidth="1"/>
    <col min="6" max="6" width="14.28515625" bestFit="1" customWidth="1"/>
    <col min="7" max="7" width="13.140625" bestFit="1" customWidth="1"/>
    <col min="9" max="9" width="17.28515625" bestFit="1" customWidth="1"/>
    <col min="10" max="10" width="16.42578125" bestFit="1" customWidth="1"/>
    <col min="11" max="11" width="8" bestFit="1" customWidth="1"/>
    <col min="12" max="12" width="15" bestFit="1" customWidth="1"/>
  </cols>
  <sheetData>
    <row r="1" spans="1:12" x14ac:dyDescent="0.25">
      <c r="A1">
        <v>800000</v>
      </c>
      <c r="C1" t="s">
        <v>94</v>
      </c>
      <c r="D1">
        <v>1850000</v>
      </c>
      <c r="F1" t="s">
        <v>62</v>
      </c>
      <c r="G1">
        <v>685000</v>
      </c>
      <c r="I1" t="s">
        <v>104</v>
      </c>
      <c r="J1" t="s">
        <v>106</v>
      </c>
      <c r="K1" t="s">
        <v>48</v>
      </c>
      <c r="L1" t="s">
        <v>107</v>
      </c>
    </row>
    <row r="2" spans="1:12" x14ac:dyDescent="0.25">
      <c r="A2">
        <v>177000</v>
      </c>
      <c r="C2" t="s">
        <v>95</v>
      </c>
      <c r="D2">
        <f>1.18*0.005*D1</f>
        <v>10915</v>
      </c>
      <c r="F2" t="s">
        <v>97</v>
      </c>
      <c r="G2">
        <f>G1-SUM(D2:D6)</f>
        <v>529925</v>
      </c>
      <c r="I2" t="s">
        <v>105</v>
      </c>
      <c r="J2">
        <v>6800</v>
      </c>
      <c r="K2">
        <f>218320+62233</f>
        <v>280553</v>
      </c>
      <c r="L2">
        <f>100*K2/$G$3</f>
        <v>21.252807605628469</v>
      </c>
    </row>
    <row r="3" spans="1:12" x14ac:dyDescent="0.25">
      <c r="A3">
        <v>4526</v>
      </c>
      <c r="C3" t="s">
        <v>96</v>
      </c>
      <c r="D3">
        <f>1.18*0.02*D1</f>
        <v>43660</v>
      </c>
      <c r="F3" t="s">
        <v>98</v>
      </c>
      <c r="G3">
        <f>D1-G2</f>
        <v>1320075</v>
      </c>
      <c r="I3" t="s">
        <v>108</v>
      </c>
      <c r="J3">
        <v>6940</v>
      </c>
      <c r="K3">
        <v>285000</v>
      </c>
      <c r="L3">
        <f>100*K3/$G$3</f>
        <v>21.58968240440884</v>
      </c>
    </row>
    <row r="4" spans="1:12" x14ac:dyDescent="0.25">
      <c r="C4" t="s">
        <v>82</v>
      </c>
      <c r="D4">
        <v>40000</v>
      </c>
      <c r="F4" t="s">
        <v>101</v>
      </c>
      <c r="G4">
        <f>100*G2/D1</f>
        <v>28.644594594594594</v>
      </c>
    </row>
    <row r="5" spans="1:12" x14ac:dyDescent="0.25">
      <c r="C5" t="s">
        <v>99</v>
      </c>
      <c r="D5">
        <f>3*15500</f>
        <v>46500</v>
      </c>
      <c r="F5" t="s">
        <v>102</v>
      </c>
      <c r="G5">
        <f>G3/3</f>
        <v>440025</v>
      </c>
      <c r="I5" t="s">
        <v>109</v>
      </c>
      <c r="J5">
        <v>5800</v>
      </c>
      <c r="K5">
        <f>288044+41000</f>
        <v>329044</v>
      </c>
      <c r="L5">
        <f t="shared" ref="L5:L8" si="0">100*K5/$G$3</f>
        <v>24.926159498513343</v>
      </c>
    </row>
    <row r="6" spans="1:12" x14ac:dyDescent="0.25">
      <c r="C6" t="s">
        <v>100</v>
      </c>
      <c r="D6">
        <f>6000+8000</f>
        <v>14000</v>
      </c>
      <c r="F6" t="s">
        <v>103</v>
      </c>
      <c r="G6">
        <f>G3-G5</f>
        <v>880050</v>
      </c>
      <c r="I6" t="s">
        <v>110</v>
      </c>
      <c r="J6">
        <v>5000</v>
      </c>
      <c r="K6">
        <f>380000+41000</f>
        <v>421000</v>
      </c>
      <c r="L6">
        <f t="shared" si="0"/>
        <v>31.892127341249552</v>
      </c>
    </row>
    <row r="8" spans="1:12" x14ac:dyDescent="0.25">
      <c r="D8">
        <f>SUM(D2:D6)</f>
        <v>155075</v>
      </c>
      <c r="I8" t="s">
        <v>111</v>
      </c>
      <c r="J8">
        <v>8000</v>
      </c>
      <c r="K8">
        <f>165000+41000</f>
        <v>206000</v>
      </c>
      <c r="L8">
        <f t="shared" si="0"/>
        <v>15.605173948449899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145" zoomScaleNormal="145" workbookViewId="0">
      <selection activeCell="J9" sqref="J9"/>
    </sheetView>
  </sheetViews>
  <sheetFormatPr defaultColWidth="7.42578125" defaultRowHeight="15" x14ac:dyDescent="0.25"/>
  <cols>
    <col min="1" max="1" width="7.5703125" bestFit="1" customWidth="1"/>
    <col min="2" max="2" width="8.5703125" bestFit="1" customWidth="1"/>
    <col min="3" max="3" width="10.140625" bestFit="1" customWidth="1"/>
    <col min="4" max="4" width="8.7109375" bestFit="1" customWidth="1"/>
    <col min="6" max="6" width="14.28515625" bestFit="1" customWidth="1"/>
    <col min="7" max="7" width="13.140625" bestFit="1" customWidth="1"/>
    <col min="9" max="9" width="17.28515625" bestFit="1" customWidth="1"/>
    <col min="10" max="10" width="16.42578125" bestFit="1" customWidth="1"/>
    <col min="11" max="11" width="8" bestFit="1" customWidth="1"/>
    <col min="12" max="12" width="15" bestFit="1" customWidth="1"/>
  </cols>
  <sheetData>
    <row r="1" spans="1:12" x14ac:dyDescent="0.25">
      <c r="A1">
        <v>800000</v>
      </c>
      <c r="C1" t="s">
        <v>94</v>
      </c>
      <c r="D1">
        <v>1500000</v>
      </c>
      <c r="F1" t="s">
        <v>62</v>
      </c>
      <c r="G1">
        <v>685000</v>
      </c>
      <c r="I1" t="s">
        <v>104</v>
      </c>
      <c r="J1" t="s">
        <v>106</v>
      </c>
      <c r="K1" t="s">
        <v>48</v>
      </c>
      <c r="L1" t="s">
        <v>107</v>
      </c>
    </row>
    <row r="2" spans="1:12" x14ac:dyDescent="0.25">
      <c r="A2">
        <v>177000</v>
      </c>
      <c r="C2" t="s">
        <v>95</v>
      </c>
      <c r="D2">
        <f>1.18*0.005*D1</f>
        <v>8850</v>
      </c>
      <c r="F2" t="s">
        <v>97</v>
      </c>
      <c r="G2">
        <f>G1-SUM(D2:D6)</f>
        <v>540250</v>
      </c>
      <c r="I2" t="s">
        <v>112</v>
      </c>
      <c r="J2">
        <v>6000</v>
      </c>
      <c r="K2">
        <v>185000</v>
      </c>
      <c r="L2">
        <f>100*K2/$G$3</f>
        <v>19.275853086741339</v>
      </c>
    </row>
    <row r="3" spans="1:12" x14ac:dyDescent="0.25">
      <c r="A3">
        <v>4526</v>
      </c>
      <c r="C3" t="s">
        <v>96</v>
      </c>
      <c r="D3">
        <f>1.18*0.02*D1</f>
        <v>35400</v>
      </c>
      <c r="F3" t="s">
        <v>98</v>
      </c>
      <c r="G3">
        <f>D1-G2</f>
        <v>959750</v>
      </c>
      <c r="I3" t="s">
        <v>113</v>
      </c>
      <c r="J3">
        <v>5000</v>
      </c>
      <c r="K3">
        <v>245000</v>
      </c>
      <c r="L3">
        <f>100*K3/$G$3</f>
        <v>25.527481114873666</v>
      </c>
    </row>
    <row r="4" spans="1:12" x14ac:dyDescent="0.25">
      <c r="C4" t="s">
        <v>82</v>
      </c>
      <c r="D4">
        <v>40000</v>
      </c>
      <c r="F4" t="s">
        <v>101</v>
      </c>
      <c r="G4">
        <f>100*G2/D1</f>
        <v>36.016666666666666</v>
      </c>
    </row>
    <row r="5" spans="1:12" x14ac:dyDescent="0.25">
      <c r="C5" t="s">
        <v>99</v>
      </c>
      <c r="D5">
        <f>3*15500</f>
        <v>46500</v>
      </c>
      <c r="F5" t="s">
        <v>102</v>
      </c>
      <c r="G5">
        <f>G3/3</f>
        <v>319916.66666666669</v>
      </c>
    </row>
    <row r="6" spans="1:12" x14ac:dyDescent="0.25">
      <c r="C6" t="s">
        <v>100</v>
      </c>
      <c r="D6">
        <f>6000+8000</f>
        <v>14000</v>
      </c>
      <c r="F6" t="s">
        <v>103</v>
      </c>
      <c r="G6">
        <f>G3-G5</f>
        <v>639833.33333333326</v>
      </c>
    </row>
    <row r="8" spans="1:12" x14ac:dyDescent="0.25">
      <c r="A8" t="s">
        <v>115</v>
      </c>
      <c r="B8">
        <f>25*12*5000</f>
        <v>1500000</v>
      </c>
      <c r="J8">
        <f>('My details'!B2/12)</f>
        <v>17</v>
      </c>
    </row>
    <row r="9" spans="1:12" x14ac:dyDescent="0.25">
      <c r="B9">
        <f>530000/120</f>
        <v>4416.666666666667</v>
      </c>
      <c r="I9" t="s">
        <v>128</v>
      </c>
      <c r="J9">
        <f>Personal!D1*1.05^J8</f>
        <v>4240233.8879319113</v>
      </c>
    </row>
    <row r="10" spans="1:12" x14ac:dyDescent="0.25">
      <c r="I10" t="s">
        <v>129</v>
      </c>
      <c r="J10">
        <f>D1*1.05^J8</f>
        <v>3438027.4767015497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My details</vt:lpstr>
      <vt:lpstr>Initial position</vt:lpstr>
      <vt:lpstr>Market</vt:lpstr>
      <vt:lpstr>Incomes</vt:lpstr>
      <vt:lpstr>Expenses</vt:lpstr>
      <vt:lpstr>Assets</vt:lpstr>
      <vt:lpstr>Loans</vt:lpstr>
      <vt:lpstr>Savings</vt:lpstr>
      <vt:lpstr>Background</vt:lpstr>
      <vt:lpstr>Personal</vt:lpstr>
      <vt:lpstr>Personal2</vt:lpstr>
      <vt:lpstr>ActiveOptions</vt:lpstr>
      <vt:lpstr>AssetGentrificationUnits</vt:lpstr>
      <vt:lpstr>DateUnitsOptions</vt:lpstr>
      <vt:lpstr>FrequencyOptions</vt:lpstr>
      <vt:lpstr>IncomeTaxUnitOptions</vt:lpstr>
      <vt:lpstr>RaiseFrequencyOptions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HadasAndIay Karo</cp:lastModifiedBy>
  <dcterms:created xsi:type="dcterms:W3CDTF">2006-09-16T00:00:00Z</dcterms:created>
  <dcterms:modified xsi:type="dcterms:W3CDTF">2016-03-20T22:12:51Z</dcterms:modified>
</cp:coreProperties>
</file>