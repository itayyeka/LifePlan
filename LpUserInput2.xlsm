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dasAndIay\Desktop\LpVER_05\"/>
    </mc:Choice>
  </mc:AlternateContent>
  <bookViews>
    <workbookView xWindow="240" yWindow="110" windowWidth="7260" windowHeight="1700" tabRatio="670" activeTab="7"/>
  </bookViews>
  <sheets>
    <sheet name="My details" sheetId="11" r:id="rId1"/>
    <sheet name="Initial position" sheetId="10" r:id="rId2"/>
    <sheet name="Market" sheetId="9" r:id="rId3"/>
    <sheet name="Incomes" sheetId="5" r:id="rId4"/>
    <sheet name="Expenses" sheetId="4" r:id="rId5"/>
    <sheet name="Assets" sheetId="6" r:id="rId6"/>
    <sheet name="Loans" sheetId="7" r:id="rId7"/>
    <sheet name="Savings" sheetId="8" r:id="rId8"/>
    <sheet name="Background" sheetId="2" r:id="rId9"/>
    <sheet name="Personal" sheetId="12" r:id="rId10"/>
  </sheets>
  <definedNames>
    <definedName name="ActiveOptions">Background!$A$2:$A$3</definedName>
    <definedName name="AssetGentrificationUnits">Background!$E$2:$E$3</definedName>
    <definedName name="DateUnitsOptions">Background!$C$2:$C$4</definedName>
    <definedName name="FrequencyOptions">Background!$B$2:$B$3</definedName>
    <definedName name="IncomeTaxUnitOptions">Background!$D$2:$D$3</definedName>
    <definedName name="KidsFundInterest">Personal!$B$9</definedName>
    <definedName name="LawyerPrecent">Personal!$K$2</definedName>
    <definedName name="NadlanPrecent">Personal!$K$1</definedName>
    <definedName name="RaiseFrequencyOptions">Background!$F$2:$F$4</definedName>
    <definedName name="UseFirstFundHadas">Savings!$V$2</definedName>
    <definedName name="UseFirstFundItay">Savings!$V$1</definedName>
  </definedNames>
  <calcPr calcId="162913"/>
</workbook>
</file>

<file path=xl/calcChain.xml><?xml version="1.0" encoding="utf-8"?>
<calcChain xmlns="http://schemas.openxmlformats.org/spreadsheetml/2006/main">
  <c r="C5" i="6" l="1"/>
  <c r="B2" i="12" l="1"/>
  <c r="B3" i="12"/>
  <c r="H3" i="12"/>
  <c r="H4" i="12" s="1"/>
  <c r="E1" i="12"/>
  <c r="H5" i="12" l="1"/>
  <c r="C6" i="7" s="1"/>
  <c r="C5" i="7"/>
  <c r="J6" i="8"/>
  <c r="L6" i="8" s="1"/>
  <c r="C7" i="4" l="1"/>
</calcChain>
</file>

<file path=xl/sharedStrings.xml><?xml version="1.0" encoding="utf-8"?>
<sst xmlns="http://schemas.openxmlformats.org/spreadsheetml/2006/main" count="262" uniqueCount="102">
  <si>
    <t>Name</t>
  </si>
  <si>
    <t>Amount</t>
  </si>
  <si>
    <t>Frequency</t>
  </si>
  <si>
    <t>Active?</t>
  </si>
  <si>
    <t>Start date</t>
  </si>
  <si>
    <t>Units</t>
  </si>
  <si>
    <t>Duration</t>
  </si>
  <si>
    <t>Tax</t>
  </si>
  <si>
    <t>Value</t>
  </si>
  <si>
    <t>Raises</t>
  </si>
  <si>
    <t>Val</t>
  </si>
  <si>
    <t>Active Options</t>
  </si>
  <si>
    <t>ON</t>
  </si>
  <si>
    <t>OFF</t>
  </si>
  <si>
    <t>FrequencyOptions</t>
  </si>
  <si>
    <t>MONTHLY</t>
  </si>
  <si>
    <t>YEARLY</t>
  </si>
  <si>
    <t>DateUnitsOptions</t>
  </si>
  <si>
    <t>MONTHS</t>
  </si>
  <si>
    <t>YEARS</t>
  </si>
  <si>
    <t>INF</t>
  </si>
  <si>
    <t>PRECENT OF INCOME</t>
  </si>
  <si>
    <t>ACTUAL AMOUNT</t>
  </si>
  <si>
    <t>IncomeTaxUnitOptions</t>
  </si>
  <si>
    <t>StartDate</t>
  </si>
  <si>
    <t>Expenses</t>
  </si>
  <si>
    <t>Dates</t>
  </si>
  <si>
    <t>Incomes</t>
  </si>
  <si>
    <t>Unit</t>
  </si>
  <si>
    <t>Assets</t>
  </si>
  <si>
    <t>Purchsase</t>
  </si>
  <si>
    <t>Date</t>
  </si>
  <si>
    <t>Sell</t>
  </si>
  <si>
    <t>Gentrification</t>
  </si>
  <si>
    <t>Yield</t>
  </si>
  <si>
    <t>units</t>
  </si>
  <si>
    <t>Delay</t>
  </si>
  <si>
    <t xml:space="preserve">Value </t>
  </si>
  <si>
    <t>Purchase value</t>
  </si>
  <si>
    <t>Sell value</t>
  </si>
  <si>
    <t>how much did it cost you?</t>
  </si>
  <si>
    <t>How much money did you get for selling it?</t>
  </si>
  <si>
    <t>Value rise of the asset with time</t>
  </si>
  <si>
    <t>How much money will you get from the asset as long as you own it? (rent, selling its products etc.)</t>
  </si>
  <si>
    <t>AssetGentrificationUnits</t>
  </si>
  <si>
    <t>PrecentOfValue</t>
  </si>
  <si>
    <t>Loans</t>
  </si>
  <si>
    <t>Start</t>
  </si>
  <si>
    <t>Interest</t>
  </si>
  <si>
    <t>Linked to index?</t>
  </si>
  <si>
    <t>Principal</t>
  </si>
  <si>
    <t>Init value (precents)</t>
  </si>
  <si>
    <t>Savings</t>
  </si>
  <si>
    <t>Start amount</t>
  </si>
  <si>
    <t>Management fee</t>
  </si>
  <si>
    <t>End</t>
  </si>
  <si>
    <t>PRECETS OF VALUE</t>
  </si>
  <si>
    <t>Customer name</t>
  </si>
  <si>
    <t>Hadas and itay</t>
  </si>
  <si>
    <t>Initial position</t>
  </si>
  <si>
    <t>Number of previously sold assets</t>
  </si>
  <si>
    <t>Cash</t>
  </si>
  <si>
    <t>TIPS</t>
  </si>
  <si>
    <t>Assets, savings and loans that will have the start date value 0, will be processed as if they were initally present.</t>
  </si>
  <si>
    <t>Market</t>
  </si>
  <si>
    <t>Stochastic behaviour?</t>
  </si>
  <si>
    <t>Index</t>
  </si>
  <si>
    <t>Period</t>
  </si>
  <si>
    <t>Trend (precents)</t>
  </si>
  <si>
    <t>Variance (precents^2)</t>
  </si>
  <si>
    <t>RaiseFrequencyOptions</t>
  </si>
  <si>
    <t>ONE TIME</t>
  </si>
  <si>
    <t>Months planned</t>
  </si>
  <si>
    <t>Hadas Salary</t>
  </si>
  <si>
    <t>Itay Salary</t>
  </si>
  <si>
    <t>Monthly expenses</t>
  </si>
  <si>
    <t>Itay education</t>
  </si>
  <si>
    <t>Car</t>
  </si>
  <si>
    <t>Child1</t>
  </si>
  <si>
    <t>Rent</t>
  </si>
  <si>
    <t>House</t>
  </si>
  <si>
    <t>Lawyer</t>
  </si>
  <si>
    <t>Nadlan</t>
  </si>
  <si>
    <t>Precent</t>
  </si>
  <si>
    <t>Prime</t>
  </si>
  <si>
    <t>Child 1 begin</t>
  </si>
  <si>
    <t>Regular</t>
  </si>
  <si>
    <t>House4Room</t>
  </si>
  <si>
    <t>Mortagage</t>
  </si>
  <si>
    <t>Neto init</t>
  </si>
  <si>
    <t>NadlanPrecent</t>
  </si>
  <si>
    <t>LawyerPrecent</t>
  </si>
  <si>
    <t>UseFirstFundItay</t>
  </si>
  <si>
    <t>UseFirstFundHadas</t>
  </si>
  <si>
    <t>Exit
(early exit)
(counting from
the loan start date)</t>
  </si>
  <si>
    <t>Standing order</t>
  </si>
  <si>
    <t>Growth
(Precents per insertion)</t>
  </si>
  <si>
    <t>Stop insertions</t>
  </si>
  <si>
    <t>Report
add report of 
min,max,mean,total</t>
  </si>
  <si>
    <t>House expenses</t>
  </si>
  <si>
    <t>Mortgage sim</t>
  </si>
  <si>
    <t>Trip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</si>
</sst>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1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/>
      <top style="double">
        <color rgb="FF3F3F3F"/>
      </top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4" fillId="4" borderId="8" applyNumberFormat="0" applyAlignment="0" applyProtection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2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0" borderId="2" xfId="4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0" fontId="2" fillId="2" borderId="1" xfId="1"/>
    <xf numFmtId="0" fontId="3" fillId="3" borderId="0" xfId="2" applyAlignment="1">
      <alignment horizontal="center"/>
    </xf>
    <xf numFmtId="0" fontId="5" fillId="0" borderId="0" xfId="4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1" applyAlignment="1">
      <alignment horizontal="center" vertical="center"/>
    </xf>
    <xf numFmtId="0" fontId="2" fillId="2" borderId="1" xfId="1" applyAlignment="1">
      <alignment horizontal="center" vertical="center" wrapText="1"/>
    </xf>
    <xf numFmtId="0" fontId="2" fillId="2" borderId="1" xfId="1" applyAlignment="1">
      <alignment horizontal="center" vertic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3" xfId="1" applyBorder="1" applyAlignment="1">
      <alignment horizontal="center" vertical="center"/>
    </xf>
    <xf numFmtId="0" fontId="2" fillId="2" borderId="7" xfId="1" applyBorder="1" applyAlignment="1">
      <alignment horizontal="center" vertical="center"/>
    </xf>
    <xf numFmtId="0" fontId="2" fillId="2" borderId="4" xfId="1" applyBorder="1" applyAlignment="1">
      <alignment horizontal="center" vertical="center"/>
    </xf>
    <xf numFmtId="0" fontId="2" fillId="2" borderId="9" xfId="1" applyBorder="1" applyAlignment="1">
      <alignment horizontal="center" vertical="center"/>
    </xf>
    <xf numFmtId="0" fontId="2" fillId="2" borderId="10" xfId="1" applyBorder="1" applyAlignment="1">
      <alignment horizontal="center" vertical="center"/>
    </xf>
    <xf numFmtId="0" fontId="2" fillId="2" borderId="11" xfId="1" applyBorder="1" applyAlignment="1">
      <alignment horizontal="center" vertical="center"/>
    </xf>
    <xf numFmtId="0" fontId="2" fillId="2" borderId="1" xfId="1" applyAlignment="1">
      <alignment horizontal="center" vertical="center"/>
    </xf>
    <xf numFmtId="0" fontId="2" fillId="2" borderId="9" xfId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2" fillId="2" borderId="5" xfId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1" xfId="1" applyAlignment="1">
      <alignment horizontal="center" vertical="center" wrapText="1"/>
    </xf>
    <xf numFmtId="0" fontId="2" fillId="2" borderId="10" xfId="1" applyBorder="1" applyAlignment="1">
      <alignment horizontal="center" vertical="center" wrapText="1"/>
    </xf>
    <xf numFmtId="0" fontId="2" fillId="2" borderId="11" xfId="1" applyBorder="1" applyAlignment="1">
      <alignment horizontal="center" vertical="center" wrapText="1"/>
    </xf>
    <xf numFmtId="0" fontId="2" fillId="2" borderId="3" xfId="1" applyBorder="1" applyAlignment="1">
      <alignment horizontal="center" vertical="center" wrapText="1"/>
    </xf>
    <xf numFmtId="0" fontId="2" fillId="2" borderId="12" xfId="1" applyBorder="1" applyAlignment="1">
      <alignment horizontal="center" vertical="center" wrapText="1"/>
    </xf>
    <xf numFmtId="0" fontId="2" fillId="2" borderId="15" xfId="1" applyBorder="1" applyAlignment="1">
      <alignment horizontal="center" vertical="center" wrapText="1"/>
    </xf>
    <xf numFmtId="0" fontId="2" fillId="2" borderId="13" xfId="1" applyBorder="1" applyAlignment="1">
      <alignment horizontal="center" vertical="center" wrapText="1"/>
    </xf>
    <xf numFmtId="0" fontId="2" fillId="2" borderId="5" xfId="1" applyBorder="1" applyAlignment="1">
      <alignment horizontal="center" vertical="center" wrapText="1"/>
    </xf>
    <xf numFmtId="0" fontId="2" fillId="2" borderId="6" xfId="1" applyBorder="1" applyAlignment="1">
      <alignment horizontal="center" vertical="center" wrapText="1"/>
    </xf>
    <xf numFmtId="0" fontId="2" fillId="2" borderId="14" xfId="1" applyBorder="1" applyAlignment="1">
      <alignment horizontal="center" vertical="center" wrapText="1"/>
    </xf>
  </cellXfs>
  <cellStyles count="5">
    <cellStyle name="Calculation" xfId="3" builtinId="22"/>
    <cellStyle name="Check Cell" xfId="1" builtinId="23"/>
    <cellStyle name="Explanatory Text" xfId="4" builtinId="53"/>
    <cellStyle name="Good" xfId="2" builtinId="26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12700</xdr:rowOff>
        </xdr:from>
        <xdr:to>
          <xdr:col>1</xdr:col>
          <xdr:colOff>774700</xdr:colOff>
          <xdr:row>8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zoomScale="175" zoomScaleNormal="175" workbookViewId="0">
      <selection activeCell="C4" sqref="C4"/>
    </sheetView>
  </sheetViews>
  <sheetFormatPr defaultRowHeight="14.5" x14ac:dyDescent="0.35"/>
  <cols>
    <col min="1" max="1" width="15.1796875" bestFit="1" customWidth="1"/>
    <col min="2" max="2" width="15.7265625" bestFit="1" customWidth="1"/>
  </cols>
  <sheetData>
    <row r="1" spans="1:2" ht="15.5" thickTop="1" thickBot="1" x14ac:dyDescent="0.4">
      <c r="A1" s="6" t="s">
        <v>57</v>
      </c>
      <c r="B1" s="6" t="s">
        <v>72</v>
      </c>
    </row>
    <row r="2" spans="1:2" ht="15" thickTop="1" x14ac:dyDescent="0.35">
      <c r="A2" t="s">
        <v>58</v>
      </c>
      <c r="B2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zoomScale="130" zoomScaleNormal="130" workbookViewId="0">
      <selection activeCell="A3" sqref="A3"/>
    </sheetView>
  </sheetViews>
  <sheetFormatPr defaultRowHeight="14.5" x14ac:dyDescent="0.35"/>
  <cols>
    <col min="1" max="1" width="14" bestFit="1" customWidth="1"/>
    <col min="2" max="2" width="31" bestFit="1" customWidth="1"/>
    <col min="5" max="5" width="105.7265625" style="3" bestFit="1" customWidth="1"/>
  </cols>
  <sheetData>
    <row r="1" spans="1:5" ht="15.5" thickTop="1" thickBot="1" x14ac:dyDescent="0.4">
      <c r="A1" s="13" t="s">
        <v>59</v>
      </c>
      <c r="B1" s="14"/>
      <c r="E1" s="7" t="s">
        <v>62</v>
      </c>
    </row>
    <row r="2" spans="1:5" ht="15.5" thickTop="1" thickBot="1" x14ac:dyDescent="0.4">
      <c r="A2" s="6" t="s">
        <v>61</v>
      </c>
      <c r="B2" s="6" t="s">
        <v>60</v>
      </c>
      <c r="E2" s="8" t="s">
        <v>63</v>
      </c>
    </row>
    <row r="3" spans="1:5" ht="15" thickTop="1" x14ac:dyDescent="0.35">
      <c r="A3">
        <v>120000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D8" sqref="D8"/>
    </sheetView>
  </sheetViews>
  <sheetFormatPr defaultColWidth="9.1796875" defaultRowHeight="14.5" x14ac:dyDescent="0.35"/>
  <cols>
    <col min="1" max="1" width="20.54296875" style="2" bestFit="1" customWidth="1"/>
    <col min="2" max="2" width="9.1796875" style="2"/>
    <col min="3" max="3" width="7.26953125" style="2" bestFit="1" customWidth="1"/>
    <col min="4" max="4" width="20.54296875" style="2" bestFit="1" customWidth="1"/>
    <col min="5" max="16384" width="9.1796875" style="2"/>
  </cols>
  <sheetData>
    <row r="1" spans="1:4" ht="15.5" thickTop="1" thickBot="1" x14ac:dyDescent="0.4">
      <c r="A1" s="15" t="s">
        <v>64</v>
      </c>
      <c r="B1" s="16"/>
      <c r="C1" s="16"/>
      <c r="D1" s="17"/>
    </row>
    <row r="2" spans="1:4" ht="15.5" thickTop="1" thickBot="1" x14ac:dyDescent="0.4">
      <c r="A2" s="18" t="s">
        <v>65</v>
      </c>
      <c r="B2" s="15" t="s">
        <v>66</v>
      </c>
      <c r="C2" s="16"/>
      <c r="D2" s="17"/>
    </row>
    <row r="3" spans="1:4" ht="15.5" thickTop="1" thickBot="1" x14ac:dyDescent="0.4">
      <c r="A3" s="20"/>
      <c r="B3" s="15" t="s">
        <v>68</v>
      </c>
      <c r="C3" s="17"/>
      <c r="D3" s="18" t="s">
        <v>69</v>
      </c>
    </row>
    <row r="4" spans="1:4" ht="15.5" thickTop="1" thickBot="1" x14ac:dyDescent="0.4">
      <c r="A4" s="19"/>
      <c r="B4" s="1" t="s">
        <v>8</v>
      </c>
      <c r="C4" s="1" t="s">
        <v>67</v>
      </c>
      <c r="D4" s="19"/>
    </row>
    <row r="5" spans="1:4" ht="15" thickTop="1" x14ac:dyDescent="0.35">
      <c r="A5" s="3" t="s">
        <v>13</v>
      </c>
      <c r="B5" s="2">
        <v>2</v>
      </c>
      <c r="C5" s="3">
        <v>12</v>
      </c>
      <c r="D5" s="2">
        <v>0</v>
      </c>
    </row>
  </sheetData>
  <mergeCells count="5">
    <mergeCell ref="A1:D1"/>
    <mergeCell ref="B2:D2"/>
    <mergeCell ref="B3:C3"/>
    <mergeCell ref="D3:D4"/>
    <mergeCell ref="A2:A4"/>
  </mergeCells>
  <dataValidations count="1">
    <dataValidation type="list" allowBlank="1" showInputMessage="1" showErrorMessage="1" sqref="A5">
      <formula1>ActiveOptions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zoomScale="85" zoomScaleNormal="85" workbookViewId="0">
      <pane ySplit="4" topLeftCell="A5" activePane="bottomLeft" state="frozen"/>
      <selection pane="bottomLeft" activeCell="I10" sqref="I10"/>
    </sheetView>
  </sheetViews>
  <sheetFormatPr defaultColWidth="22.7265625" defaultRowHeight="14.5" x14ac:dyDescent="0.35"/>
  <cols>
    <col min="1" max="1" width="7.54296875" style="9" bestFit="1" customWidth="1"/>
    <col min="2" max="2" width="23.81640625" style="9" bestFit="1" customWidth="1"/>
    <col min="3" max="3" width="13.453125" style="9" bestFit="1" customWidth="1"/>
    <col min="4" max="4" width="10.26953125" style="9" bestFit="1" customWidth="1"/>
    <col min="5" max="5" width="4.453125" style="9" bestFit="1" customWidth="1"/>
    <col min="6" max="6" width="9.1796875" style="9" bestFit="1" customWidth="1"/>
    <col min="7" max="7" width="3.81640625" style="9" bestFit="1" customWidth="1"/>
    <col min="8" max="8" width="9.1796875" style="9" bestFit="1" customWidth="1"/>
    <col min="9" max="9" width="3.81640625" style="9" bestFit="1" customWidth="1"/>
    <col min="10" max="10" width="19.7265625" style="9" bestFit="1" customWidth="1"/>
    <col min="11" max="11" width="7.54296875" style="9" bestFit="1" customWidth="1"/>
    <col min="12" max="12" width="3.81640625" style="9" bestFit="1" customWidth="1"/>
    <col min="13" max="13" width="19.7265625" style="9" bestFit="1" customWidth="1"/>
    <col min="14" max="14" width="10.26953125" style="9" bestFit="1" customWidth="1"/>
    <col min="15" max="15" width="3.81640625" style="9" bestFit="1" customWidth="1"/>
    <col min="16" max="16" width="9.1796875" style="9" bestFit="1" customWidth="1"/>
    <col min="17" max="17" width="19.26953125" style="9" bestFit="1" customWidth="1"/>
    <col min="18" max="16384" width="22.7265625" style="9"/>
  </cols>
  <sheetData>
    <row r="1" spans="1:17" ht="15.5" thickTop="1" thickBot="1" x14ac:dyDescent="0.4">
      <c r="A1" s="15" t="s">
        <v>27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7"/>
      <c r="Q1" s="22" t="s">
        <v>98</v>
      </c>
    </row>
    <row r="2" spans="1:17" ht="15.5" thickTop="1" thickBot="1" x14ac:dyDescent="0.4">
      <c r="A2" s="18" t="s">
        <v>3</v>
      </c>
      <c r="B2" s="18" t="s">
        <v>0</v>
      </c>
      <c r="C2" s="18" t="s">
        <v>1</v>
      </c>
      <c r="D2" s="18" t="s">
        <v>2</v>
      </c>
      <c r="E2" s="21" t="s">
        <v>26</v>
      </c>
      <c r="F2" s="21"/>
      <c r="G2" s="21"/>
      <c r="H2" s="21"/>
      <c r="I2" s="21" t="s">
        <v>7</v>
      </c>
      <c r="J2" s="21"/>
      <c r="K2" s="15" t="s">
        <v>9</v>
      </c>
      <c r="L2" s="16"/>
      <c r="M2" s="16"/>
      <c r="N2" s="16"/>
      <c r="O2" s="16"/>
      <c r="P2" s="17"/>
      <c r="Q2" s="20"/>
    </row>
    <row r="3" spans="1:17" ht="15.5" thickTop="1" thickBot="1" x14ac:dyDescent="0.4">
      <c r="A3" s="20"/>
      <c r="B3" s="20"/>
      <c r="C3" s="20"/>
      <c r="D3" s="20"/>
      <c r="E3" s="21" t="s">
        <v>24</v>
      </c>
      <c r="F3" s="21"/>
      <c r="G3" s="21" t="s">
        <v>6</v>
      </c>
      <c r="H3" s="21"/>
      <c r="I3" s="18" t="s">
        <v>10</v>
      </c>
      <c r="J3" s="18" t="s">
        <v>5</v>
      </c>
      <c r="K3" s="18" t="s">
        <v>3</v>
      </c>
      <c r="L3" s="18" t="s">
        <v>10</v>
      </c>
      <c r="M3" s="18" t="s">
        <v>28</v>
      </c>
      <c r="N3" s="18" t="s">
        <v>2</v>
      </c>
      <c r="O3" s="15" t="s">
        <v>31</v>
      </c>
      <c r="P3" s="17"/>
      <c r="Q3" s="20"/>
    </row>
    <row r="4" spans="1:17" ht="15.5" thickTop="1" thickBot="1" x14ac:dyDescent="0.4">
      <c r="A4" s="19"/>
      <c r="B4" s="19"/>
      <c r="C4" s="19"/>
      <c r="D4" s="19"/>
      <c r="E4" s="12" t="s">
        <v>10</v>
      </c>
      <c r="F4" s="12" t="s">
        <v>5</v>
      </c>
      <c r="G4" s="12" t="s">
        <v>10</v>
      </c>
      <c r="H4" s="12" t="s">
        <v>5</v>
      </c>
      <c r="I4" s="19"/>
      <c r="J4" s="19"/>
      <c r="K4" s="19"/>
      <c r="L4" s="19"/>
      <c r="M4" s="19"/>
      <c r="N4" s="19"/>
      <c r="O4" s="12" t="s">
        <v>10</v>
      </c>
      <c r="P4" s="12" t="s">
        <v>5</v>
      </c>
      <c r="Q4" s="19"/>
    </row>
    <row r="5" spans="1:17" ht="15" thickTop="1" x14ac:dyDescent="0.35">
      <c r="A5" s="9" t="s">
        <v>12</v>
      </c>
      <c r="B5" s="9" t="s">
        <v>74</v>
      </c>
      <c r="C5" s="9">
        <v>14000</v>
      </c>
      <c r="D5" s="9">
        <v>1</v>
      </c>
      <c r="E5" s="9">
        <v>0</v>
      </c>
      <c r="F5" s="9" t="s">
        <v>18</v>
      </c>
      <c r="G5" s="9">
        <v>5</v>
      </c>
      <c r="H5" s="9" t="s">
        <v>19</v>
      </c>
      <c r="I5" s="9">
        <v>0</v>
      </c>
      <c r="J5" s="9" t="s">
        <v>21</v>
      </c>
      <c r="K5" s="9" t="s">
        <v>13</v>
      </c>
      <c r="L5" s="9">
        <v>3</v>
      </c>
      <c r="M5" s="9" t="s">
        <v>21</v>
      </c>
      <c r="N5" s="9">
        <v>12</v>
      </c>
      <c r="O5" s="9">
        <v>0</v>
      </c>
      <c r="P5" s="9" t="s">
        <v>18</v>
      </c>
      <c r="Q5" s="9" t="s">
        <v>13</v>
      </c>
    </row>
    <row r="6" spans="1:17" x14ac:dyDescent="0.35">
      <c r="A6" s="9" t="s">
        <v>12</v>
      </c>
      <c r="B6" s="9" t="s">
        <v>73</v>
      </c>
      <c r="C6" s="9">
        <v>15500</v>
      </c>
      <c r="D6" s="9">
        <v>1</v>
      </c>
      <c r="E6" s="9">
        <v>0</v>
      </c>
      <c r="F6" s="9" t="s">
        <v>18</v>
      </c>
      <c r="G6" s="9">
        <v>4</v>
      </c>
      <c r="H6" s="9" t="s">
        <v>18</v>
      </c>
      <c r="I6" s="9">
        <v>0</v>
      </c>
      <c r="J6" s="9" t="s">
        <v>21</v>
      </c>
      <c r="K6" s="9" t="s">
        <v>13</v>
      </c>
      <c r="L6" s="9">
        <v>0</v>
      </c>
      <c r="M6" s="9" t="s">
        <v>21</v>
      </c>
      <c r="N6" s="9">
        <v>12</v>
      </c>
      <c r="O6" s="9">
        <v>0</v>
      </c>
      <c r="P6" s="9" t="s">
        <v>18</v>
      </c>
      <c r="Q6" s="9" t="s">
        <v>13</v>
      </c>
    </row>
  </sheetData>
  <mergeCells count="18">
    <mergeCell ref="B2:B4"/>
    <mergeCell ref="A2:A4"/>
    <mergeCell ref="I2:J2"/>
    <mergeCell ref="E2:H2"/>
    <mergeCell ref="E3:F3"/>
    <mergeCell ref="Q1:Q4"/>
    <mergeCell ref="G3:H3"/>
    <mergeCell ref="A1:P1"/>
    <mergeCell ref="K2:P2"/>
    <mergeCell ref="O3:P3"/>
    <mergeCell ref="N3:N4"/>
    <mergeCell ref="M3:M4"/>
    <mergeCell ref="L3:L4"/>
    <mergeCell ref="K3:K4"/>
    <mergeCell ref="J3:J4"/>
    <mergeCell ref="I3:I4"/>
    <mergeCell ref="D2:D4"/>
    <mergeCell ref="C2:C4"/>
  </mergeCells>
  <dataValidations count="3">
    <dataValidation type="list" allowBlank="1" showInputMessage="1" showErrorMessage="1" sqref="H5:H6 P5:P6 F5:F6">
      <formula1>DateUnitsOptions</formula1>
    </dataValidation>
    <dataValidation type="list" allowBlank="1" showInputMessage="1" showErrorMessage="1" sqref="M5:M6 J5:J6">
      <formula1>IncomeTaxUnitOptions</formula1>
    </dataValidation>
    <dataValidation type="list" allowBlank="1" showInputMessage="1" showErrorMessage="1" sqref="Q5:Q6 A5:A6 K5:K6">
      <formula1>ActiveOptions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"/>
  <sheetViews>
    <sheetView zoomScale="145" zoomScaleNormal="145" workbookViewId="0">
      <pane ySplit="4" topLeftCell="A5" activePane="bottomLeft" state="frozen"/>
      <selection pane="bottomLeft" activeCell="H12" sqref="H12"/>
    </sheetView>
  </sheetViews>
  <sheetFormatPr defaultColWidth="9.1796875" defaultRowHeight="14.5" x14ac:dyDescent="0.35"/>
  <cols>
    <col min="1" max="1" width="7.54296875" style="9" bestFit="1" customWidth="1"/>
    <col min="2" max="2" width="17.7265625" style="9" bestFit="1" customWidth="1"/>
    <col min="3" max="3" width="13.1796875" style="9" bestFit="1" customWidth="1"/>
    <col min="4" max="4" width="10.26953125" style="9" bestFit="1" customWidth="1"/>
    <col min="5" max="5" width="6.1796875" style="9" bestFit="1" customWidth="1"/>
    <col min="6" max="6" width="8.81640625" style="9" bestFit="1" customWidth="1"/>
    <col min="7" max="7" width="6.1796875" style="9" bestFit="1" customWidth="1"/>
    <col min="8" max="8" width="8.81640625" style="9" bestFit="1" customWidth="1"/>
    <col min="9" max="9" width="23.1796875" style="9" customWidth="1"/>
    <col min="10" max="16384" width="9.1796875" style="9"/>
  </cols>
  <sheetData>
    <row r="1" spans="1:9" ht="15.5" thickTop="1" thickBot="1" x14ac:dyDescent="0.4">
      <c r="A1" s="24" t="s">
        <v>25</v>
      </c>
      <c r="B1" s="25"/>
      <c r="C1" s="25"/>
      <c r="D1" s="25"/>
      <c r="E1" s="25"/>
      <c r="F1" s="25"/>
      <c r="G1" s="25"/>
      <c r="H1" s="25"/>
      <c r="I1" s="22" t="s">
        <v>98</v>
      </c>
    </row>
    <row r="2" spans="1:9" ht="15.5" thickTop="1" thickBot="1" x14ac:dyDescent="0.4">
      <c r="A2" s="18" t="s">
        <v>3</v>
      </c>
      <c r="B2" s="18" t="s">
        <v>0</v>
      </c>
      <c r="C2" s="18" t="s">
        <v>1</v>
      </c>
      <c r="D2" s="18" t="s">
        <v>2</v>
      </c>
      <c r="E2" s="15" t="s">
        <v>26</v>
      </c>
      <c r="F2" s="16"/>
      <c r="G2" s="26"/>
      <c r="H2" s="23"/>
      <c r="I2" s="20"/>
    </row>
    <row r="3" spans="1:9" ht="15.5" thickTop="1" thickBot="1" x14ac:dyDescent="0.4">
      <c r="A3" s="20"/>
      <c r="B3" s="20"/>
      <c r="C3" s="20"/>
      <c r="D3" s="20"/>
      <c r="E3" s="15" t="s">
        <v>4</v>
      </c>
      <c r="F3" s="23"/>
      <c r="G3" s="15" t="s">
        <v>6</v>
      </c>
      <c r="H3" s="23"/>
      <c r="I3" s="20"/>
    </row>
    <row r="4" spans="1:9" ht="15.5" thickTop="1" thickBot="1" x14ac:dyDescent="0.4">
      <c r="A4" s="19"/>
      <c r="B4" s="19"/>
      <c r="C4" s="19"/>
      <c r="D4" s="19"/>
      <c r="E4" s="12" t="s">
        <v>8</v>
      </c>
      <c r="F4" s="12" t="s">
        <v>5</v>
      </c>
      <c r="G4" s="12" t="s">
        <v>8</v>
      </c>
      <c r="H4" s="12" t="s">
        <v>5</v>
      </c>
      <c r="I4" s="19"/>
    </row>
    <row r="5" spans="1:9" s="3" customFormat="1" ht="15" thickTop="1" x14ac:dyDescent="0.35">
      <c r="A5" s="3" t="s">
        <v>12</v>
      </c>
      <c r="B5" s="3" t="s">
        <v>79</v>
      </c>
      <c r="C5" s="3">
        <v>3450</v>
      </c>
      <c r="D5" s="9">
        <v>1</v>
      </c>
      <c r="E5" s="3">
        <v>0</v>
      </c>
      <c r="F5" s="3" t="s">
        <v>18</v>
      </c>
      <c r="G5" s="3">
        <v>2</v>
      </c>
      <c r="H5" s="3" t="s">
        <v>18</v>
      </c>
      <c r="I5" s="3" t="s">
        <v>13</v>
      </c>
    </row>
    <row r="6" spans="1:9" s="3" customFormat="1" x14ac:dyDescent="0.35">
      <c r="A6" s="3" t="s">
        <v>12</v>
      </c>
      <c r="B6" s="3" t="s">
        <v>75</v>
      </c>
      <c r="C6" s="3">
        <v>15000</v>
      </c>
      <c r="D6" s="9">
        <v>1</v>
      </c>
      <c r="E6" s="3">
        <v>0</v>
      </c>
      <c r="F6" s="3" t="s">
        <v>18</v>
      </c>
      <c r="H6" s="3" t="s">
        <v>20</v>
      </c>
      <c r="I6" s="3" t="s">
        <v>13</v>
      </c>
    </row>
    <row r="7" spans="1:9" s="3" customFormat="1" x14ac:dyDescent="0.35">
      <c r="A7" s="3" t="s">
        <v>12</v>
      </c>
      <c r="B7" s="3" t="s">
        <v>76</v>
      </c>
      <c r="C7" s="3">
        <f>21000/18</f>
        <v>1166.6666666666667</v>
      </c>
      <c r="D7" s="9">
        <v>1</v>
      </c>
      <c r="E7" s="3">
        <v>0</v>
      </c>
      <c r="F7" s="3" t="s">
        <v>18</v>
      </c>
      <c r="G7" s="3">
        <v>18</v>
      </c>
      <c r="H7" s="3" t="s">
        <v>18</v>
      </c>
      <c r="I7" s="3" t="s">
        <v>13</v>
      </c>
    </row>
    <row r="8" spans="1:9" s="3" customFormat="1" ht="15.5" customHeight="1" x14ac:dyDescent="0.35">
      <c r="A8" s="3" t="s">
        <v>12</v>
      </c>
      <c r="B8" s="3" t="s">
        <v>85</v>
      </c>
      <c r="C8" s="3">
        <v>2000</v>
      </c>
      <c r="D8" s="9">
        <v>1</v>
      </c>
      <c r="E8" s="3">
        <v>1</v>
      </c>
      <c r="F8" s="3" t="s">
        <v>18</v>
      </c>
      <c r="G8" s="3">
        <v>2.5</v>
      </c>
      <c r="H8" s="3" t="s">
        <v>19</v>
      </c>
      <c r="I8" s="3" t="s">
        <v>13</v>
      </c>
    </row>
    <row r="9" spans="1:9" s="3" customFormat="1" x14ac:dyDescent="0.35">
      <c r="A9" s="3" t="s">
        <v>12</v>
      </c>
      <c r="B9" s="3" t="s">
        <v>77</v>
      </c>
      <c r="C9" s="3">
        <v>40000</v>
      </c>
      <c r="D9" s="9">
        <v>1</v>
      </c>
      <c r="E9" s="3">
        <v>1</v>
      </c>
      <c r="F9" s="3" t="s">
        <v>18</v>
      </c>
      <c r="G9" s="3">
        <v>1</v>
      </c>
      <c r="H9" s="3" t="s">
        <v>18</v>
      </c>
      <c r="I9" s="3" t="s">
        <v>13</v>
      </c>
    </row>
    <row r="10" spans="1:9" s="3" customFormat="1" x14ac:dyDescent="0.35">
      <c r="A10" s="3" t="s">
        <v>12</v>
      </c>
      <c r="B10" s="3" t="s">
        <v>99</v>
      </c>
      <c r="C10" s="3">
        <v>60000</v>
      </c>
      <c r="D10" s="9">
        <v>1</v>
      </c>
      <c r="E10" s="3">
        <v>1</v>
      </c>
      <c r="F10" s="3" t="s">
        <v>18</v>
      </c>
      <c r="G10" s="3">
        <v>1</v>
      </c>
      <c r="H10" s="3" t="s">
        <v>18</v>
      </c>
      <c r="I10" s="3" t="s">
        <v>13</v>
      </c>
    </row>
    <row r="11" spans="1:9" s="3" customFormat="1" x14ac:dyDescent="0.35">
      <c r="A11" s="3" t="s">
        <v>12</v>
      </c>
      <c r="B11" s="3" t="s">
        <v>100</v>
      </c>
      <c r="C11" s="3">
        <v>5000</v>
      </c>
      <c r="D11" s="9">
        <v>1</v>
      </c>
      <c r="E11" s="3">
        <v>1</v>
      </c>
      <c r="F11" s="3" t="s">
        <v>18</v>
      </c>
      <c r="G11" s="3">
        <v>1</v>
      </c>
      <c r="H11" s="3" t="s">
        <v>20</v>
      </c>
      <c r="I11" s="3" t="s">
        <v>13</v>
      </c>
    </row>
    <row r="12" spans="1:9" s="3" customFormat="1" x14ac:dyDescent="0.35">
      <c r="A12" s="3" t="s">
        <v>12</v>
      </c>
      <c r="B12" s="3" t="s">
        <v>101</v>
      </c>
      <c r="C12" s="3">
        <v>8000</v>
      </c>
      <c r="D12" s="9">
        <v>1</v>
      </c>
      <c r="E12" s="3">
        <v>6</v>
      </c>
      <c r="F12" s="3" t="s">
        <v>18</v>
      </c>
      <c r="G12" s="3">
        <v>1</v>
      </c>
      <c r="H12" s="3" t="s">
        <v>18</v>
      </c>
      <c r="I12" s="3" t="s">
        <v>13</v>
      </c>
    </row>
  </sheetData>
  <mergeCells count="9">
    <mergeCell ref="I1:I4"/>
    <mergeCell ref="E3:F3"/>
    <mergeCell ref="G3:H3"/>
    <mergeCell ref="A1:H1"/>
    <mergeCell ref="E2:H2"/>
    <mergeCell ref="D2:D4"/>
    <mergeCell ref="C2:C4"/>
    <mergeCell ref="B2:B4"/>
    <mergeCell ref="A2:A4"/>
  </mergeCells>
  <dataValidations count="2">
    <dataValidation type="list" allowBlank="1" showInputMessage="1" showErrorMessage="1" sqref="I5:I12 A5:A12">
      <formula1>ActiveOptions</formula1>
    </dataValidation>
    <dataValidation type="list" allowBlank="1" showInputMessage="1" showErrorMessage="1" sqref="F5:F12 H5:H12">
      <formula1>DateUnitsOptions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9.1796875" defaultRowHeight="14.5" x14ac:dyDescent="0.35"/>
  <cols>
    <col min="1" max="1" width="7.54296875" style="9" bestFit="1" customWidth="1"/>
    <col min="2" max="2" width="16.453125" style="9" bestFit="1" customWidth="1"/>
    <col min="3" max="3" width="8.54296875" style="9" bestFit="1" customWidth="1"/>
    <col min="4" max="4" width="6.1796875" style="9" bestFit="1" customWidth="1"/>
    <col min="5" max="5" width="8.81640625" style="9" bestFit="1" customWidth="1"/>
    <col min="6" max="7" width="6.1796875" style="9" bestFit="1" customWidth="1"/>
    <col min="8" max="8" width="6.54296875" style="9" bestFit="1" customWidth="1"/>
    <col min="9" max="9" width="6.1796875" style="9" bestFit="1" customWidth="1"/>
    <col min="10" max="10" width="15.453125" style="9" bestFit="1" customWidth="1"/>
    <col min="11" max="11" width="10.26953125" style="9" bestFit="1" customWidth="1"/>
    <col min="12" max="12" width="6.1796875" style="9" bestFit="1" customWidth="1"/>
    <col min="13" max="13" width="15.453125" style="9" bestFit="1" customWidth="1"/>
    <col min="14" max="14" width="10.26953125" style="9" bestFit="1" customWidth="1"/>
    <col min="15" max="15" width="6.1796875" style="9" bestFit="1" customWidth="1"/>
    <col min="16" max="16" width="8.81640625" style="9" bestFit="1" customWidth="1"/>
    <col min="17" max="17" width="9.1796875" style="9"/>
    <col min="18" max="18" width="15.1796875" style="9" bestFit="1" customWidth="1"/>
    <col min="19" max="19" width="94.1796875" style="9" bestFit="1" customWidth="1"/>
    <col min="20" max="20" width="30.54296875" style="9" bestFit="1" customWidth="1"/>
    <col min="21" max="16384" width="9.1796875" style="9"/>
  </cols>
  <sheetData>
    <row r="1" spans="1:19" ht="15.5" thickTop="1" thickBot="1" x14ac:dyDescent="0.4">
      <c r="A1" s="21" t="s">
        <v>29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9" ht="25.5" customHeight="1" thickTop="1" thickBot="1" x14ac:dyDescent="0.4">
      <c r="A2" s="21" t="s">
        <v>3</v>
      </c>
      <c r="B2" s="21" t="s">
        <v>0</v>
      </c>
      <c r="C2" s="21" t="s">
        <v>30</v>
      </c>
      <c r="D2" s="21"/>
      <c r="E2" s="21"/>
      <c r="F2" s="21" t="s">
        <v>32</v>
      </c>
      <c r="G2" s="21"/>
      <c r="H2" s="21"/>
      <c r="I2" s="27" t="s">
        <v>33</v>
      </c>
      <c r="J2" s="21"/>
      <c r="K2" s="21"/>
      <c r="L2" s="27" t="s">
        <v>34</v>
      </c>
      <c r="M2" s="21"/>
      <c r="N2" s="21"/>
      <c r="O2" s="21"/>
      <c r="P2" s="21"/>
      <c r="R2" s="5" t="s">
        <v>38</v>
      </c>
      <c r="S2" s="4" t="s">
        <v>40</v>
      </c>
    </row>
    <row r="3" spans="1:19" ht="15.5" thickTop="1" thickBot="1" x14ac:dyDescent="0.4">
      <c r="A3" s="21"/>
      <c r="B3" s="21"/>
      <c r="C3" s="22" t="s">
        <v>37</v>
      </c>
      <c r="D3" s="21" t="s">
        <v>31</v>
      </c>
      <c r="E3" s="21"/>
      <c r="F3" s="27" t="s">
        <v>8</v>
      </c>
      <c r="G3" s="21" t="s">
        <v>31</v>
      </c>
      <c r="H3" s="21"/>
      <c r="I3" s="21" t="s">
        <v>8</v>
      </c>
      <c r="J3" s="21" t="s">
        <v>5</v>
      </c>
      <c r="K3" s="21" t="s">
        <v>2</v>
      </c>
      <c r="L3" s="21" t="s">
        <v>8</v>
      </c>
      <c r="M3" s="21" t="s">
        <v>35</v>
      </c>
      <c r="N3" s="21" t="s">
        <v>2</v>
      </c>
      <c r="O3" s="27" t="s">
        <v>36</v>
      </c>
      <c r="P3" s="21"/>
      <c r="R3" s="5" t="s">
        <v>39</v>
      </c>
      <c r="S3" s="4" t="s">
        <v>41</v>
      </c>
    </row>
    <row r="4" spans="1:19" ht="15.5" thickTop="1" thickBot="1" x14ac:dyDescent="0.4">
      <c r="A4" s="21"/>
      <c r="B4" s="21"/>
      <c r="C4" s="28"/>
      <c r="D4" s="12" t="s">
        <v>8</v>
      </c>
      <c r="E4" s="12" t="s">
        <v>5</v>
      </c>
      <c r="F4" s="27"/>
      <c r="G4" s="12" t="s">
        <v>8</v>
      </c>
      <c r="H4" s="12" t="s">
        <v>5</v>
      </c>
      <c r="I4" s="21"/>
      <c r="J4" s="21"/>
      <c r="K4" s="21"/>
      <c r="L4" s="21"/>
      <c r="M4" s="21"/>
      <c r="N4" s="21"/>
      <c r="O4" s="12" t="s">
        <v>8</v>
      </c>
      <c r="P4" s="12" t="s">
        <v>5</v>
      </c>
      <c r="R4" s="5" t="s">
        <v>33</v>
      </c>
      <c r="S4" s="4" t="s">
        <v>42</v>
      </c>
    </row>
    <row r="5" spans="1:19" ht="15" thickTop="1" x14ac:dyDescent="0.35">
      <c r="A5" s="3" t="s">
        <v>13</v>
      </c>
      <c r="B5" s="3" t="s">
        <v>87</v>
      </c>
      <c r="C5" s="3">
        <f>Personal!B1</f>
        <v>1350000</v>
      </c>
      <c r="D5" s="3">
        <v>1</v>
      </c>
      <c r="E5" s="3" t="s">
        <v>18</v>
      </c>
      <c r="F5" s="3"/>
      <c r="G5" s="3"/>
      <c r="H5" s="3" t="s">
        <v>20</v>
      </c>
      <c r="I5" s="3">
        <v>5</v>
      </c>
      <c r="J5" s="3" t="s">
        <v>45</v>
      </c>
      <c r="K5" s="3">
        <v>12</v>
      </c>
      <c r="L5" s="3">
        <v>0</v>
      </c>
      <c r="M5" s="3" t="s">
        <v>45</v>
      </c>
      <c r="N5" s="3">
        <v>1</v>
      </c>
      <c r="O5" s="3">
        <v>0</v>
      </c>
      <c r="P5" s="3" t="s">
        <v>18</v>
      </c>
      <c r="R5" s="5" t="s">
        <v>34</v>
      </c>
      <c r="S5" s="4" t="s">
        <v>43</v>
      </c>
    </row>
    <row r="6" spans="1:19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9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9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9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9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9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mergeCells count="18">
    <mergeCell ref="A1:P1"/>
    <mergeCell ref="C2:E2"/>
    <mergeCell ref="F2:H2"/>
    <mergeCell ref="I2:K2"/>
    <mergeCell ref="L2:P2"/>
    <mergeCell ref="O3:P3"/>
    <mergeCell ref="G3:H3"/>
    <mergeCell ref="D3:E3"/>
    <mergeCell ref="B2:B4"/>
    <mergeCell ref="A2:A4"/>
    <mergeCell ref="N3:N4"/>
    <mergeCell ref="C3:C4"/>
    <mergeCell ref="F3:F4"/>
    <mergeCell ref="I3:I4"/>
    <mergeCell ref="J3:J4"/>
    <mergeCell ref="K3:K4"/>
    <mergeCell ref="L3:L4"/>
    <mergeCell ref="M3:M4"/>
  </mergeCells>
  <dataValidations count="3">
    <dataValidation type="list" allowBlank="1" showInputMessage="1" showErrorMessage="1" sqref="A5">
      <formula1>ActiveOptions</formula1>
    </dataValidation>
    <dataValidation type="list" allowBlank="1" showInputMessage="1" showErrorMessage="1" sqref="E5 H5 P5">
      <formula1>DateUnitsOptions</formula1>
    </dataValidation>
    <dataValidation type="list" allowBlank="1" showInputMessage="1" showErrorMessage="1" sqref="J5 M5">
      <formula1>AssetGentrificationUnits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zoomScale="115" zoomScaleNormal="115" workbookViewId="0">
      <selection activeCell="A6" sqref="A6"/>
    </sheetView>
  </sheetViews>
  <sheetFormatPr defaultColWidth="7.7265625" defaultRowHeight="14.5" x14ac:dyDescent="0.35"/>
  <cols>
    <col min="1" max="1" width="7.54296875" style="9" bestFit="1" customWidth="1"/>
    <col min="2" max="2" width="7.7265625" style="9"/>
    <col min="3" max="3" width="8.26953125" style="9" bestFit="1" customWidth="1"/>
    <col min="4" max="4" width="6.1796875" style="9" bestFit="1" customWidth="1"/>
    <col min="5" max="5" width="9.1796875" style="9" bestFit="1" customWidth="1"/>
    <col min="6" max="6" width="6.1796875" style="9" bestFit="1" customWidth="1"/>
    <col min="7" max="7" width="6.453125" style="9" bestFit="1" customWidth="1"/>
    <col min="8" max="8" width="6.1796875" style="9" bestFit="1" customWidth="1"/>
    <col min="9" max="9" width="6.453125" style="9" bestFit="1" customWidth="1"/>
    <col min="10" max="11" width="15.7265625" style="9" bestFit="1" customWidth="1"/>
    <col min="12" max="12" width="19.1796875" style="9" bestFit="1" customWidth="1"/>
    <col min="13" max="13" width="21.1796875" style="9" customWidth="1"/>
    <col min="14" max="16384" width="7.7265625" style="9"/>
  </cols>
  <sheetData>
    <row r="1" spans="1:13" ht="15.5" thickTop="1" thickBot="1" x14ac:dyDescent="0.4">
      <c r="A1" s="15" t="s">
        <v>46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7"/>
    </row>
    <row r="2" spans="1:13" ht="16.5" customHeight="1" thickTop="1" thickBot="1" x14ac:dyDescent="0.4">
      <c r="A2" s="21" t="s">
        <v>3</v>
      </c>
      <c r="B2" s="21" t="s">
        <v>0</v>
      </c>
      <c r="C2" s="21" t="s">
        <v>1</v>
      </c>
      <c r="D2" s="15" t="s">
        <v>26</v>
      </c>
      <c r="E2" s="16"/>
      <c r="F2" s="16"/>
      <c r="G2" s="16"/>
      <c r="H2" s="16"/>
      <c r="I2" s="17"/>
      <c r="J2" s="12" t="s">
        <v>50</v>
      </c>
      <c r="K2" s="21" t="s">
        <v>48</v>
      </c>
      <c r="L2" s="21"/>
      <c r="M2" s="22" t="s">
        <v>98</v>
      </c>
    </row>
    <row r="3" spans="1:13" ht="93" customHeight="1" thickTop="1" thickBot="1" x14ac:dyDescent="0.4">
      <c r="A3" s="21"/>
      <c r="B3" s="21"/>
      <c r="C3" s="21"/>
      <c r="D3" s="21" t="s">
        <v>47</v>
      </c>
      <c r="E3" s="21"/>
      <c r="F3" s="21" t="s">
        <v>6</v>
      </c>
      <c r="G3" s="21"/>
      <c r="H3" s="30" t="s">
        <v>94</v>
      </c>
      <c r="I3" s="17"/>
      <c r="J3" s="21" t="s">
        <v>49</v>
      </c>
      <c r="K3" s="21" t="s">
        <v>49</v>
      </c>
      <c r="L3" s="21" t="s">
        <v>51</v>
      </c>
      <c r="M3" s="29"/>
    </row>
    <row r="4" spans="1:13" ht="15.5" thickTop="1" thickBot="1" x14ac:dyDescent="0.4">
      <c r="A4" s="21"/>
      <c r="B4" s="21"/>
      <c r="C4" s="21"/>
      <c r="D4" s="12" t="s">
        <v>8</v>
      </c>
      <c r="E4" s="12" t="s">
        <v>5</v>
      </c>
      <c r="F4" s="12" t="s">
        <v>8</v>
      </c>
      <c r="G4" s="12" t="s">
        <v>5</v>
      </c>
      <c r="H4" s="12" t="s">
        <v>8</v>
      </c>
      <c r="I4" s="12" t="s">
        <v>5</v>
      </c>
      <c r="J4" s="21"/>
      <c r="K4" s="21"/>
      <c r="L4" s="21"/>
      <c r="M4" s="29"/>
    </row>
    <row r="5" spans="1:13" ht="15" thickTop="1" x14ac:dyDescent="0.35">
      <c r="A5" s="3" t="s">
        <v>13</v>
      </c>
      <c r="B5" s="3" t="s">
        <v>84</v>
      </c>
      <c r="C5" s="3">
        <f>Personal!H4</f>
        <v>292500</v>
      </c>
      <c r="D5" s="3">
        <v>1</v>
      </c>
      <c r="E5" s="3" t="s">
        <v>18</v>
      </c>
      <c r="F5" s="3">
        <v>30</v>
      </c>
      <c r="G5" s="3" t="s">
        <v>19</v>
      </c>
      <c r="H5" s="3">
        <v>3</v>
      </c>
      <c r="I5" s="3" t="s">
        <v>19</v>
      </c>
      <c r="J5" s="3" t="s">
        <v>13</v>
      </c>
      <c r="K5" s="3" t="s">
        <v>13</v>
      </c>
      <c r="L5" s="3">
        <v>1.5</v>
      </c>
      <c r="M5" s="3" t="s">
        <v>12</v>
      </c>
    </row>
    <row r="6" spans="1:13" x14ac:dyDescent="0.35">
      <c r="A6" s="3" t="s">
        <v>13</v>
      </c>
      <c r="B6" s="3" t="s">
        <v>86</v>
      </c>
      <c r="C6" s="3">
        <f>Personal!H5</f>
        <v>585000</v>
      </c>
      <c r="D6" s="3">
        <v>1</v>
      </c>
      <c r="E6" s="3" t="s">
        <v>18</v>
      </c>
      <c r="F6" s="3">
        <v>19</v>
      </c>
      <c r="G6" s="3" t="s">
        <v>19</v>
      </c>
      <c r="H6" s="3"/>
      <c r="I6" s="3" t="s">
        <v>20</v>
      </c>
      <c r="J6" s="3" t="s">
        <v>13</v>
      </c>
      <c r="K6" s="3" t="s">
        <v>13</v>
      </c>
      <c r="L6" s="3">
        <v>2.7</v>
      </c>
      <c r="M6" s="3" t="s">
        <v>12</v>
      </c>
    </row>
    <row r="7" spans="1:13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3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3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3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3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3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3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3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3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3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</sheetData>
  <mergeCells count="13">
    <mergeCell ref="A1:M1"/>
    <mergeCell ref="M2:M4"/>
    <mergeCell ref="B2:B4"/>
    <mergeCell ref="A2:A4"/>
    <mergeCell ref="J3:J4"/>
    <mergeCell ref="K3:K4"/>
    <mergeCell ref="D2:I2"/>
    <mergeCell ref="H3:I3"/>
    <mergeCell ref="L3:L4"/>
    <mergeCell ref="D3:E3"/>
    <mergeCell ref="F3:G3"/>
    <mergeCell ref="K2:L2"/>
    <mergeCell ref="C2:C4"/>
  </mergeCells>
  <dataValidations count="2">
    <dataValidation type="list" allowBlank="1" showInputMessage="1" showErrorMessage="1" sqref="J5:K7 A5:A7 M5:M6">
      <formula1>ActiveOptions</formula1>
    </dataValidation>
    <dataValidation type="list" allowBlank="1" showInputMessage="1" showErrorMessage="1" sqref="E5:E7 G5:G7 I5:I7 H7">
      <formula1>DateUnitsOptions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"/>
  <sheetViews>
    <sheetView tabSelected="1" zoomScale="85" zoomScaleNormal="85" workbookViewId="0">
      <selection activeCell="A6" sqref="A6:XFD6"/>
    </sheetView>
  </sheetViews>
  <sheetFormatPr defaultColWidth="9.1796875" defaultRowHeight="14.5" x14ac:dyDescent="0.35"/>
  <cols>
    <col min="1" max="1" width="7.54296875" style="2" bestFit="1" customWidth="1"/>
    <col min="2" max="2" width="23.81640625" style="2" bestFit="1" customWidth="1"/>
    <col min="3" max="3" width="12.7265625" style="2" bestFit="1" customWidth="1"/>
    <col min="4" max="4" width="6.1796875" style="2" bestFit="1" customWidth="1"/>
    <col min="5" max="5" width="17.7265625" style="2" bestFit="1" customWidth="1"/>
    <col min="6" max="6" width="10.26953125" style="2" bestFit="1" customWidth="1"/>
    <col min="7" max="7" width="8.26953125" style="2" bestFit="1" customWidth="1"/>
    <col min="8" max="8" width="10.26953125" style="9" bestFit="1" customWidth="1"/>
    <col min="9" max="9" width="13" style="9" bestFit="1" customWidth="1"/>
    <col min="10" max="10" width="6.1796875" style="2" bestFit="1" customWidth="1"/>
    <col min="11" max="11" width="9.1796875" style="2" bestFit="1" customWidth="1"/>
    <col min="12" max="12" width="6.1796875" style="9" bestFit="1" customWidth="1"/>
    <col min="13" max="13" width="9.1796875" style="9" customWidth="1"/>
    <col min="14" max="14" width="6.1796875" style="2" bestFit="1" customWidth="1"/>
    <col min="15" max="15" width="9.1796875" style="2" bestFit="1" customWidth="1"/>
    <col min="16" max="16" width="6.1796875" style="2" bestFit="1" customWidth="1"/>
    <col min="17" max="17" width="17.7265625" style="2" bestFit="1" customWidth="1"/>
    <col min="18" max="18" width="10.26953125" style="2" bestFit="1" customWidth="1"/>
    <col min="19" max="19" width="15.7265625" style="2" bestFit="1" customWidth="1"/>
    <col min="20" max="20" width="9.1796875" style="2"/>
    <col min="21" max="21" width="18.1796875" style="2" bestFit="1" customWidth="1"/>
    <col min="22" max="22" width="2.26953125" style="2" bestFit="1" customWidth="1"/>
    <col min="23" max="16384" width="9.1796875" style="2"/>
  </cols>
  <sheetData>
    <row r="1" spans="1:22" ht="15.5" thickTop="1" thickBot="1" x14ac:dyDescent="0.4">
      <c r="A1" s="21" t="s">
        <v>52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U1" s="2" t="s">
        <v>92</v>
      </c>
      <c r="V1" s="2">
        <v>0</v>
      </c>
    </row>
    <row r="2" spans="1:22" ht="16.5" customHeight="1" thickTop="1" thickBot="1" x14ac:dyDescent="0.4">
      <c r="A2" s="21" t="s">
        <v>3</v>
      </c>
      <c r="B2" s="21" t="s">
        <v>0</v>
      </c>
      <c r="C2" s="21" t="s">
        <v>53</v>
      </c>
      <c r="D2" s="21" t="s">
        <v>54</v>
      </c>
      <c r="E2" s="21"/>
      <c r="F2" s="21"/>
      <c r="G2" s="31" t="s">
        <v>95</v>
      </c>
      <c r="H2" s="32"/>
      <c r="I2" s="33"/>
      <c r="J2" s="21" t="s">
        <v>26</v>
      </c>
      <c r="K2" s="21"/>
      <c r="L2" s="21"/>
      <c r="M2" s="21"/>
      <c r="N2" s="21"/>
      <c r="O2" s="21"/>
      <c r="P2" s="21" t="s">
        <v>48</v>
      </c>
      <c r="Q2" s="21"/>
      <c r="R2" s="21"/>
      <c r="S2" s="21"/>
      <c r="U2" s="2" t="s">
        <v>93</v>
      </c>
      <c r="V2" s="2">
        <v>0</v>
      </c>
    </row>
    <row r="3" spans="1:22" ht="15.5" thickTop="1" thickBot="1" x14ac:dyDescent="0.4">
      <c r="A3" s="21"/>
      <c r="B3" s="21"/>
      <c r="C3" s="21"/>
      <c r="D3" s="21" t="s">
        <v>8</v>
      </c>
      <c r="E3" s="21" t="s">
        <v>5</v>
      </c>
      <c r="F3" s="21" t="s">
        <v>2</v>
      </c>
      <c r="G3" s="34"/>
      <c r="H3" s="35"/>
      <c r="I3" s="36"/>
      <c r="J3" s="15" t="s">
        <v>47</v>
      </c>
      <c r="K3" s="17"/>
      <c r="L3" s="15" t="s">
        <v>97</v>
      </c>
      <c r="M3" s="17"/>
      <c r="N3" s="15" t="s">
        <v>55</v>
      </c>
      <c r="O3" s="17"/>
      <c r="P3" s="21" t="s">
        <v>8</v>
      </c>
      <c r="Q3" s="21" t="s">
        <v>5</v>
      </c>
      <c r="R3" s="21" t="s">
        <v>2</v>
      </c>
      <c r="S3" s="21" t="s">
        <v>49</v>
      </c>
    </row>
    <row r="4" spans="1:22" ht="44.5" thickTop="1" thickBot="1" x14ac:dyDescent="0.4">
      <c r="A4" s="21"/>
      <c r="B4" s="21"/>
      <c r="C4" s="21"/>
      <c r="D4" s="21"/>
      <c r="E4" s="21"/>
      <c r="F4" s="21"/>
      <c r="G4" s="10" t="s">
        <v>1</v>
      </c>
      <c r="H4" s="10" t="s">
        <v>2</v>
      </c>
      <c r="I4" s="11" t="s">
        <v>96</v>
      </c>
      <c r="J4" s="1" t="s">
        <v>8</v>
      </c>
      <c r="K4" s="1" t="s">
        <v>5</v>
      </c>
      <c r="L4" s="10" t="s">
        <v>8</v>
      </c>
      <c r="M4" s="10" t="s">
        <v>5</v>
      </c>
      <c r="N4" s="1" t="s">
        <v>8</v>
      </c>
      <c r="O4" s="1" t="s">
        <v>5</v>
      </c>
      <c r="P4" s="21"/>
      <c r="Q4" s="21"/>
      <c r="R4" s="21"/>
      <c r="S4" s="21"/>
    </row>
    <row r="5" spans="1:22" ht="15" thickTop="1" x14ac:dyDescent="0.35">
      <c r="A5" s="3" t="s">
        <v>13</v>
      </c>
      <c r="B5" s="2" t="s">
        <v>89</v>
      </c>
      <c r="C5" s="2">
        <v>0</v>
      </c>
      <c r="D5" s="2">
        <v>0</v>
      </c>
      <c r="E5" s="3" t="s">
        <v>56</v>
      </c>
      <c r="F5" s="3">
        <v>12</v>
      </c>
      <c r="G5" s="2">
        <v>1000</v>
      </c>
      <c r="H5" s="9">
        <v>1</v>
      </c>
      <c r="I5" s="9">
        <v>0</v>
      </c>
      <c r="J5" s="2">
        <v>1</v>
      </c>
      <c r="K5" s="3" t="s">
        <v>18</v>
      </c>
      <c r="M5" s="3" t="s">
        <v>20</v>
      </c>
      <c r="O5" s="3" t="s">
        <v>20</v>
      </c>
      <c r="P5" s="2">
        <v>0</v>
      </c>
      <c r="Q5" s="3" t="s">
        <v>56</v>
      </c>
      <c r="R5" s="3">
        <v>12</v>
      </c>
      <c r="S5" s="3" t="s">
        <v>12</v>
      </c>
    </row>
    <row r="6" spans="1:22" s="9" customFormat="1" x14ac:dyDescent="0.35">
      <c r="A6" s="3" t="s">
        <v>12</v>
      </c>
      <c r="B6" s="9" t="s">
        <v>78</v>
      </c>
      <c r="C6" s="9">
        <v>0</v>
      </c>
      <c r="D6" s="9">
        <v>0</v>
      </c>
      <c r="E6" s="3" t="s">
        <v>56</v>
      </c>
      <c r="F6" s="3">
        <v>12</v>
      </c>
      <c r="G6" s="9">
        <v>500</v>
      </c>
      <c r="H6" s="9">
        <v>1</v>
      </c>
      <c r="I6" s="9">
        <v>0</v>
      </c>
      <c r="J6" s="9">
        <f>Expenses!E8</f>
        <v>1</v>
      </c>
      <c r="K6" s="3" t="s">
        <v>18</v>
      </c>
      <c r="L6" s="9">
        <f>$J6+25*12</f>
        <v>301</v>
      </c>
      <c r="M6" s="3" t="s">
        <v>18</v>
      </c>
      <c r="O6" s="3" t="s">
        <v>20</v>
      </c>
      <c r="P6" s="9">
        <v>3</v>
      </c>
      <c r="Q6" s="3" t="s">
        <v>56</v>
      </c>
      <c r="R6" s="3">
        <v>12</v>
      </c>
      <c r="S6" s="3" t="s">
        <v>13</v>
      </c>
    </row>
  </sheetData>
  <mergeCells count="18">
    <mergeCell ref="A1:S1"/>
    <mergeCell ref="P3:P4"/>
    <mergeCell ref="Q3:Q4"/>
    <mergeCell ref="R3:R4"/>
    <mergeCell ref="A2:A4"/>
    <mergeCell ref="S3:S4"/>
    <mergeCell ref="F3:F4"/>
    <mergeCell ref="E3:E4"/>
    <mergeCell ref="D3:D4"/>
    <mergeCell ref="C2:C4"/>
    <mergeCell ref="B2:B4"/>
    <mergeCell ref="D2:F2"/>
    <mergeCell ref="J2:O2"/>
    <mergeCell ref="P2:S2"/>
    <mergeCell ref="G2:I3"/>
    <mergeCell ref="N3:O3"/>
    <mergeCell ref="J3:K3"/>
    <mergeCell ref="L3:M3"/>
  </mergeCells>
  <dataValidations count="3">
    <dataValidation type="list" allowBlank="1" showInputMessage="1" showErrorMessage="1" sqref="S5:S6 A5:A6">
      <formula1>ActiveOptions</formula1>
    </dataValidation>
    <dataValidation type="list" allowBlank="1" showInputMessage="1" showErrorMessage="1" sqref="Q5:Q6 E5:E6">
      <formula1>AssetGentrificationUnits</formula1>
    </dataValidation>
    <dataValidation type="list" allowBlank="1" showInputMessage="1" showErrorMessage="1" sqref="M5:M6 K5:K6 O5:O6">
      <formula1>DateUnitsOptions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G26" sqref="G26"/>
    </sheetView>
  </sheetViews>
  <sheetFormatPr defaultRowHeight="14.5" x14ac:dyDescent="0.35"/>
  <cols>
    <col min="1" max="1" width="14.1796875" bestFit="1" customWidth="1"/>
    <col min="2" max="2" width="17.54296875" bestFit="1" customWidth="1"/>
    <col min="3" max="3" width="16.81640625" bestFit="1" customWidth="1"/>
    <col min="4" max="4" width="21.7265625" bestFit="1" customWidth="1"/>
    <col min="5" max="5" width="23.1796875" bestFit="1" customWidth="1"/>
    <col min="6" max="6" width="22.453125" bestFit="1" customWidth="1"/>
  </cols>
  <sheetData>
    <row r="1" spans="1:6" x14ac:dyDescent="0.35">
      <c r="A1" t="s">
        <v>11</v>
      </c>
      <c r="B1" t="s">
        <v>14</v>
      </c>
      <c r="C1" t="s">
        <v>17</v>
      </c>
      <c r="D1" t="s">
        <v>23</v>
      </c>
      <c r="E1" t="s">
        <v>44</v>
      </c>
      <c r="F1" t="s">
        <v>70</v>
      </c>
    </row>
    <row r="2" spans="1:6" x14ac:dyDescent="0.35">
      <c r="A2" t="s">
        <v>12</v>
      </c>
      <c r="B2" t="s">
        <v>15</v>
      </c>
      <c r="C2" t="s">
        <v>18</v>
      </c>
      <c r="D2" t="s">
        <v>21</v>
      </c>
      <c r="E2" t="s">
        <v>56</v>
      </c>
      <c r="F2" t="s">
        <v>15</v>
      </c>
    </row>
    <row r="3" spans="1:6" x14ac:dyDescent="0.35">
      <c r="A3" t="s">
        <v>13</v>
      </c>
      <c r="B3" t="s">
        <v>16</v>
      </c>
      <c r="C3" t="s">
        <v>19</v>
      </c>
      <c r="D3" t="s">
        <v>22</v>
      </c>
      <c r="E3" t="s">
        <v>22</v>
      </c>
      <c r="F3" t="s">
        <v>16</v>
      </c>
    </row>
    <row r="4" spans="1:6" x14ac:dyDescent="0.35">
      <c r="C4" t="s">
        <v>20</v>
      </c>
      <c r="F4" t="s">
        <v>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MatlabDayfiletool">
                <anchor moveWithCells="1" sizeWithCells="1">
                  <from>
                    <xdr:col>0</xdr:col>
                    <xdr:colOff>0</xdr:colOff>
                    <xdr:row>4</xdr:row>
                    <xdr:rowOff>12700</xdr:rowOff>
                  </from>
                  <to>
                    <xdr:col>1</xdr:col>
                    <xdr:colOff>774700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zoomScale="130" zoomScaleNormal="130" workbookViewId="0">
      <selection activeCell="H13" sqref="H13"/>
    </sheetView>
  </sheetViews>
  <sheetFormatPr defaultColWidth="7.453125" defaultRowHeight="14.5" x14ac:dyDescent="0.35"/>
  <cols>
    <col min="1" max="1" width="9.26953125" bestFit="1" customWidth="1"/>
    <col min="2" max="2" width="8.7265625" bestFit="1" customWidth="1"/>
    <col min="3" max="3" width="10.1796875" bestFit="1" customWidth="1"/>
    <col min="4" max="4" width="5.1796875" bestFit="1" customWidth="1"/>
    <col min="5" max="5" width="2.1796875" bestFit="1" customWidth="1"/>
    <col min="6" max="6" width="14.26953125" bestFit="1" customWidth="1"/>
    <col min="7" max="7" width="10.453125" bestFit="1" customWidth="1"/>
    <col min="8" max="8" width="8.7265625" bestFit="1" customWidth="1"/>
    <col min="9" max="9" width="17.26953125" bestFit="1" customWidth="1"/>
    <col min="10" max="10" width="16.453125" bestFit="1" customWidth="1"/>
    <col min="11" max="11" width="8" bestFit="1" customWidth="1"/>
    <col min="12" max="12" width="15" bestFit="1" customWidth="1"/>
  </cols>
  <sheetData>
    <row r="1" spans="1:11" x14ac:dyDescent="0.35">
      <c r="A1" t="s">
        <v>80</v>
      </c>
      <c r="B1">
        <v>1350000</v>
      </c>
      <c r="D1" t="s">
        <v>61</v>
      </c>
      <c r="E1">
        <f>'Initial position'!A3</f>
        <v>120000</v>
      </c>
      <c r="G1" t="s">
        <v>88</v>
      </c>
      <c r="J1" t="s">
        <v>90</v>
      </c>
      <c r="K1">
        <v>1.5</v>
      </c>
    </row>
    <row r="2" spans="1:11" x14ac:dyDescent="0.35">
      <c r="A2" t="s">
        <v>81</v>
      </c>
      <c r="B2">
        <f>1.18*(LawyerPrecent/100)*B1</f>
        <v>7965</v>
      </c>
      <c r="G2" t="s">
        <v>83</v>
      </c>
      <c r="H2">
        <v>65</v>
      </c>
      <c r="J2" t="s">
        <v>91</v>
      </c>
      <c r="K2">
        <v>0.5</v>
      </c>
    </row>
    <row r="3" spans="1:11" x14ac:dyDescent="0.35">
      <c r="A3" t="s">
        <v>82</v>
      </c>
      <c r="B3">
        <f>1.18*(NadlanPrecent/100)*B1</f>
        <v>23894.999999999996</v>
      </c>
      <c r="G3" t="s">
        <v>1</v>
      </c>
      <c r="H3">
        <f>B1*H2/100</f>
        <v>877500</v>
      </c>
    </row>
    <row r="4" spans="1:11" x14ac:dyDescent="0.35">
      <c r="G4" t="s">
        <v>84</v>
      </c>
      <c r="H4">
        <f>H3/3</f>
        <v>292500</v>
      </c>
    </row>
    <row r="5" spans="1:11" x14ac:dyDescent="0.35">
      <c r="G5" t="s">
        <v>86</v>
      </c>
      <c r="H5">
        <f>H3-H4</f>
        <v>585000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My details</vt:lpstr>
      <vt:lpstr>Initial position</vt:lpstr>
      <vt:lpstr>Market</vt:lpstr>
      <vt:lpstr>Incomes</vt:lpstr>
      <vt:lpstr>Expenses</vt:lpstr>
      <vt:lpstr>Assets</vt:lpstr>
      <vt:lpstr>Loans</vt:lpstr>
      <vt:lpstr>Savings</vt:lpstr>
      <vt:lpstr>Background</vt:lpstr>
      <vt:lpstr>Personal</vt:lpstr>
      <vt:lpstr>ActiveOptions</vt:lpstr>
      <vt:lpstr>AssetGentrificationUnits</vt:lpstr>
      <vt:lpstr>DateUnitsOptions</vt:lpstr>
      <vt:lpstr>FrequencyOptions</vt:lpstr>
      <vt:lpstr>IncomeTaxUnitOptions</vt:lpstr>
      <vt:lpstr>KidsFundInterest</vt:lpstr>
      <vt:lpstr>LawyerPrecent</vt:lpstr>
      <vt:lpstr>NadlanPrecent</vt:lpstr>
      <vt:lpstr>RaiseFrequencyOptions</vt:lpstr>
      <vt:lpstr>UseFirstFundHadas</vt:lpstr>
      <vt:lpstr>UseFirstFundItay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HadasAndIay Karo</cp:lastModifiedBy>
  <dcterms:created xsi:type="dcterms:W3CDTF">2006-09-16T00:00:00Z</dcterms:created>
  <dcterms:modified xsi:type="dcterms:W3CDTF">2016-03-26T19:18:31Z</dcterms:modified>
</cp:coreProperties>
</file>